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codeName="ThisWorkbook"/>
  <mc:AlternateContent xmlns:mc="http://schemas.openxmlformats.org/markup-compatibility/2006">
    <mc:Choice Requires="x15">
      <x15ac:absPath xmlns:x15ac="http://schemas.microsoft.com/office/spreadsheetml/2010/11/ac" url="/Users/aidenbyrne/Documents/College Plan/"/>
    </mc:Choice>
  </mc:AlternateContent>
  <xr:revisionPtr revIDLastSave="0" documentId="13_ncr:1_{AF086418-4D48-294B-9CE0-B5E424D6B325}" xr6:coauthVersionLast="47" xr6:coauthVersionMax="47" xr10:uidLastSave="{00000000-0000-0000-0000-000000000000}"/>
  <bookViews>
    <workbookView xWindow="0" yWindow="760" windowWidth="28780" windowHeight="17240"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2" i="11" l="1"/>
  <c r="E10" i="11"/>
  <c r="Q1" i="11"/>
  <c r="H7" i="11"/>
  <c r="F10" i="11" l="1"/>
  <c r="H10" i="11" s="1"/>
  <c r="E26" i="11"/>
  <c r="E11" i="11" l="1"/>
  <c r="E9" i="11"/>
  <c r="F11" i="11"/>
  <c r="E12" i="11" s="1"/>
  <c r="E13" i="11" s="1"/>
  <c r="E37" i="11"/>
  <c r="F26" i="11"/>
  <c r="E27" i="11" s="1"/>
  <c r="I5" i="11"/>
  <c r="H42" i="11"/>
  <c r="H41" i="11"/>
  <c r="H36" i="11"/>
  <c r="H8" i="11"/>
  <c r="H16" i="11"/>
  <c r="H25" i="11"/>
  <c r="F9" i="11" l="1"/>
  <c r="H9" i="11" s="1"/>
  <c r="H11" i="11"/>
  <c r="F12" i="11"/>
  <c r="F37" i="11"/>
  <c r="E39" i="11" s="1"/>
  <c r="H26" i="11"/>
  <c r="F13" i="11"/>
  <c r="F27" i="11"/>
  <c r="E28" i="11" s="1"/>
  <c r="E35" i="11"/>
  <c r="E17" i="11" s="1"/>
  <c r="E18" i="11" s="1"/>
  <c r="I6" i="11"/>
  <c r="H12" i="11" l="1"/>
  <c r="E14" i="11"/>
  <c r="F39" i="11"/>
  <c r="E40" i="11" s="1"/>
  <c r="H37" i="11"/>
  <c r="H27" i="11"/>
  <c r="E15" i="11"/>
  <c r="H13" i="11"/>
  <c r="F18" i="11"/>
  <c r="F17" i="11"/>
  <c r="H17" i="11" s="1"/>
  <c r="F35" i="11"/>
  <c r="H35" i="11" s="1"/>
  <c r="F28" i="11"/>
  <c r="E29" i="11" s="1"/>
  <c r="J5" i="11"/>
  <c r="K5" i="11" s="1"/>
  <c r="L5" i="11" s="1"/>
  <c r="M5" i="11" s="1"/>
  <c r="N5" i="11" s="1"/>
  <c r="O5" i="11" s="1"/>
  <c r="P5" i="11" s="1"/>
  <c r="I4" i="11"/>
  <c r="F14" i="11" l="1"/>
  <c r="H14" i="11" s="1"/>
  <c r="H39" i="11"/>
  <c r="F40" i="11"/>
  <c r="H40" i="11" s="1"/>
  <c r="F15" i="11"/>
  <c r="H15" i="11" s="1"/>
  <c r="H18" i="11"/>
  <c r="E19" i="11"/>
  <c r="E20" i="11" s="1"/>
  <c r="E21" i="11" s="1"/>
  <c r="E23" i="11" s="1"/>
  <c r="H28" i="11"/>
  <c r="H29" i="11"/>
  <c r="P4" i="11"/>
  <c r="Q5" i="11"/>
  <c r="R5" i="11" s="1"/>
  <c r="S5" i="11" s="1"/>
  <c r="T5" i="11" s="1"/>
  <c r="U5" i="11" s="1"/>
  <c r="V5" i="11" s="1"/>
  <c r="W5" i="11" s="1"/>
  <c r="J6" i="11"/>
  <c r="F23" i="11" l="1"/>
  <c r="E24" i="11" s="1"/>
  <c r="F21" i="11"/>
  <c r="H21" i="11" s="1"/>
  <c r="F20" i="11"/>
  <c r="H20" i="11" s="1"/>
  <c r="F19" i="11"/>
  <c r="H19" i="11" s="1"/>
  <c r="W4" i="11"/>
  <c r="X5" i="11"/>
  <c r="Y5" i="11" s="1"/>
  <c r="Z5" i="11" s="1"/>
  <c r="AA5" i="11" s="1"/>
  <c r="AB5" i="11" s="1"/>
  <c r="AC5" i="11" s="1"/>
  <c r="AD5" i="11" s="1"/>
  <c r="K6" i="11"/>
  <c r="F24" i="11" l="1"/>
  <c r="H23" i="11"/>
  <c r="AE5" i="11"/>
  <c r="AF5" i="11" s="1"/>
  <c r="AG5" i="11" s="1"/>
  <c r="AH5" i="11" s="1"/>
  <c r="AI5" i="11" s="1"/>
  <c r="AJ5" i="11" s="1"/>
  <c r="AD4" i="11"/>
  <c r="L6" i="11"/>
  <c r="H24" i="11" l="1"/>
  <c r="AK5" i="1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M5" i="11" s="1"/>
  <c r="BK6" i="11"/>
  <c r="AF6" i="11"/>
  <c r="BN5" i="11" l="1"/>
  <c r="BM6" i="11"/>
  <c r="BM4" i="11"/>
  <c r="BL6" i="11"/>
  <c r="AG6" i="11"/>
  <c r="BN6" i="11" l="1"/>
  <c r="BO5" i="11"/>
  <c r="AH6" i="11"/>
  <c r="BP5" i="11" l="1"/>
  <c r="BO6" i="11"/>
  <c r="AI6" i="11"/>
  <c r="BP6" i="11" l="1"/>
  <c r="BQ5" i="11"/>
  <c r="AJ6" i="11"/>
  <c r="BR5" i="11" l="1"/>
  <c r="BQ6" i="11"/>
  <c r="AK6" i="11"/>
  <c r="BS5" i="11" l="1"/>
  <c r="BR6" i="11"/>
  <c r="AL6" i="11"/>
  <c r="BS6" i="11" l="1"/>
  <c r="BT5" i="11"/>
  <c r="AM6" i="11"/>
  <c r="BT4" i="11" l="1"/>
  <c r="BT6" i="11"/>
  <c r="BU5" i="11"/>
  <c r="AN6" i="11"/>
  <c r="BU6" i="11" l="1"/>
  <c r="BV5" i="11"/>
  <c r="AO6" i="11"/>
  <c r="BW5" i="11" l="1"/>
  <c r="BV6" i="11"/>
  <c r="AP6" i="11"/>
  <c r="BW6" i="11" l="1"/>
  <c r="BX5" i="11"/>
  <c r="AQ6" i="11"/>
  <c r="BX6" i="11" l="1"/>
  <c r="BY5" i="11"/>
  <c r="AR6" i="11"/>
  <c r="BZ5" i="11" l="1"/>
  <c r="BY6" i="11"/>
  <c r="BZ6" i="11" l="1"/>
  <c r="CA5" i="11"/>
  <c r="CB5" i="11" l="1"/>
  <c r="CA4" i="11"/>
  <c r="CA6" i="11"/>
  <c r="CC5" i="11" l="1"/>
  <c r="CB6" i="11"/>
  <c r="CD5" i="11" l="1"/>
  <c r="CC6" i="11"/>
  <c r="CD6" i="11" l="1"/>
  <c r="CE5" i="11"/>
  <c r="CE6" i="11" l="1"/>
  <c r="CF5" i="11"/>
  <c r="CF6" i="11" l="1"/>
  <c r="CG5" i="11"/>
  <c r="CG6" i="11" s="1"/>
</calcChain>
</file>

<file path=xl/sharedStrings.xml><?xml version="1.0" encoding="utf-8"?>
<sst xmlns="http://schemas.openxmlformats.org/spreadsheetml/2006/main" count="89" uniqueCount="64">
  <si>
    <t>Insert new rows ABOVE this one</t>
  </si>
  <si>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</si>
  <si>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</si>
  <si>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</si>
  <si>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</si>
  <si>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</si>
  <si>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</si>
  <si>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</si>
  <si>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</si>
  <si>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</si>
  <si>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</si>
  <si>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</si>
  <si>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</si>
  <si>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</si>
  <si>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</si>
  <si>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</si>
  <si>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</si>
  <si>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</si>
  <si>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</si>
  <si>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</si>
  <si>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</si>
  <si>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VanArsdel, Ltd.</t>
  </si>
  <si>
    <t>Project lead</t>
  </si>
  <si>
    <t>Europa project</t>
  </si>
  <si>
    <t>Project start:</t>
  </si>
  <si>
    <t>Display week:</t>
  </si>
  <si>
    <t>ASSIGNED TO</t>
  </si>
  <si>
    <t>Engineering</t>
  </si>
  <si>
    <t>Planning</t>
  </si>
  <si>
    <t>Technical design</t>
  </si>
  <si>
    <t>Environment setup</t>
  </si>
  <si>
    <t>Data ingestion</t>
  </si>
  <si>
    <t>Website development</t>
  </si>
  <si>
    <t>QA/Testing</t>
  </si>
  <si>
    <t>Beta testing</t>
  </si>
  <si>
    <t>Liam</t>
  </si>
  <si>
    <t>v1 Launch</t>
  </si>
  <si>
    <t>Data back from colleges</t>
  </si>
  <si>
    <t>Spot check ingested data</t>
  </si>
  <si>
    <t>Partner</t>
  </si>
  <si>
    <t>Spec out informaion requests</t>
  </si>
  <si>
    <t>Freedom of Information requests</t>
  </si>
  <si>
    <t>Analyze outliers/interesting data</t>
  </si>
  <si>
    <t>Low fidelity wireframes</t>
  </si>
  <si>
    <t>Sitemap design</t>
  </si>
  <si>
    <t>Visual design &amp; handoff to engineering</t>
  </si>
  <si>
    <t>Marketing</t>
  </si>
  <si>
    <t>Social media plan</t>
  </si>
  <si>
    <t>Collect and analyze Beta feedback</t>
  </si>
  <si>
    <t>Product tools &amp; tracking  (backlog, bug reports)</t>
  </si>
  <si>
    <t>Ciara</t>
  </si>
  <si>
    <t>Business</t>
  </si>
  <si>
    <t>Business plan one-pager</t>
  </si>
  <si>
    <t>Marie</t>
  </si>
  <si>
    <t>Initial funding, expense tracking etc.</t>
  </si>
  <si>
    <t>Social media launch posts</t>
  </si>
  <si>
    <t>Press reachout</t>
  </si>
  <si>
    <t>School relations &amp; reachout</t>
  </si>
  <si>
    <t>Shane</t>
  </si>
  <si>
    <t>Prototype</t>
  </si>
  <si>
    <t>Updates based on beta testing</t>
  </si>
  <si>
    <t>Product Name &amp; Domain registration</t>
  </si>
  <si>
    <t>Prioritize product fixes and iteration</t>
  </si>
  <si>
    <t>Product Manager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</si>
</sst>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19">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xf numFmtId="0" fontId="4" fillId="2" borderId="21" xfId="0" applyFont="1" applyFill="1" applyBorder="1"/>
    <xf numFmtId="0" fontId="20" fillId="11" borderId="16" xfId="0" applyFont="1" applyFill="1" applyBorder="1" applyAlignment="1">
      <alignment horizontal="center" vertical="center"/>
    </xf>
    <xf numFmtId="0" fontId="27" fillId="0" borderId="0" xfId="0" applyFont="1" applyAlignment="1">
      <alignment horizontal="left"/>
    </xf>
    <xf numFmtId="0" fontId="28" fillId="0" borderId="0" xfId="0" applyFont="1"/>
    <xf numFmtId="165" fontId="27" fillId="0" borderId="0" xfId="9" applyFont="1" applyBorder="1" applyAlignment="1">
      <alignment horizontal="left"/>
    </xf>
    <xf numFmtId="0" fontId="26" fillId="0" borderId="0" xfId="8" applyFont="1" applyAlignment="1">
      <alignment horizontal="left"/>
    </xf>
    <xf numFmtId="0" fontId="4" fillId="0" borderId="0" xfId="0" applyFont="1"/>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36">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35"/>
      <tableStyleElement type="headerRow" dxfId="34"/>
      <tableStyleElement type="totalRow" dxfId="33"/>
      <tableStyleElement type="firstColumn" dxfId="32"/>
      <tableStyleElement type="lastColumn" dxfId="31"/>
      <tableStyleElement type="firstRowStripe" dxfId="30"/>
      <tableStyleElement type="secondRowStripe" dxfId="29"/>
      <tableStyleElement type="firstColumnStripe" dxfId="28"/>
      <tableStyleElement type="secondColumnStripe" dxfId="2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G45"/>
  <sheetViews>
    <sheetView showGridLines="0" tabSelected="1" showRuler="0" zoomScale="130" zoomScaleNormal="130" zoomScalePageLayoutView="70" workbookViewId="0">
      <selection activeCell="B40" sqref="B40"/>
    </sheetView>
  </sheetViews>
  <sheetFormatPr baseColWidth="10" defaultColWidth="8.6640625" defaultRowHeight="30" customHeight="1" x14ac:dyDescent="0.15"/>
  <cols>
    <col min="1" max="1" width="2.6640625" style="13" customWidth="1"/>
    <col min="2" max="2" width="53.1640625" customWidth="1"/>
    <col min="3" max="3" width="16.6640625" customWidth="1"/>
    <col min="4" max="4" width="10.6640625" customWidth="1"/>
    <col min="5" max="5" width="10.6640625" style="2" customWidth="1"/>
    <col min="6" max="6" width="10.6640625" customWidth="1"/>
    <col min="7" max="7" width="2.6640625" customWidth="1"/>
    <col min="8" max="8" width="6" hidden="1" customWidth="1"/>
    <col min="9" max="85" width="2.6640625" customWidth="1"/>
  </cols>
  <sheetData>
    <row r="1" spans="1:85" ht="90" customHeight="1" x14ac:dyDescent="0.85">
      <c r="A1" s="14"/>
      <c r="B1" s="97" t="s">
        <v>23</v>
      </c>
      <c r="C1" s="18"/>
      <c r="D1" s="19"/>
      <c r="E1" s="20"/>
      <c r="F1" s="21"/>
      <c r="H1" s="1"/>
      <c r="I1" s="114" t="s">
        <v>24</v>
      </c>
      <c r="J1" s="115"/>
      <c r="K1" s="115"/>
      <c r="L1" s="115"/>
      <c r="M1" s="115"/>
      <c r="N1" s="115"/>
      <c r="O1" s="115"/>
      <c r="P1" s="24"/>
      <c r="Q1" s="113">
        <f ca="1">TODAY()</f>
        <v>45884</v>
      </c>
      <c r="R1" s="112"/>
      <c r="S1" s="112"/>
      <c r="T1" s="112"/>
      <c r="U1" s="112"/>
      <c r="V1" s="112"/>
      <c r="W1" s="112"/>
      <c r="X1" s="112"/>
      <c r="Y1" s="112"/>
      <c r="Z1" s="112"/>
    </row>
    <row r="2" spans="1:85" ht="30" customHeight="1" x14ac:dyDescent="0.4">
      <c r="B2" s="95" t="s">
        <v>21</v>
      </c>
      <c r="C2" s="96" t="s">
        <v>22</v>
      </c>
      <c r="D2" s="22"/>
      <c r="E2" s="23"/>
      <c r="F2" s="22"/>
      <c r="I2" s="114" t="s">
        <v>25</v>
      </c>
      <c r="J2" s="115"/>
      <c r="K2" s="115"/>
      <c r="L2" s="115"/>
      <c r="M2" s="115"/>
      <c r="N2" s="115"/>
      <c r="O2" s="115"/>
      <c r="P2" s="24"/>
      <c r="Q2" s="111">
        <v>1</v>
      </c>
      <c r="R2" s="112"/>
      <c r="S2" s="112"/>
      <c r="T2" s="112"/>
      <c r="U2" s="112"/>
      <c r="V2" s="112"/>
      <c r="W2" s="112"/>
      <c r="X2" s="112"/>
      <c r="Y2" s="112"/>
      <c r="Z2" s="112"/>
    </row>
    <row r="3" spans="1:85" s="26" customFormat="1" ht="30" customHeight="1" x14ac:dyDescent="0.15">
      <c r="A3" s="13"/>
      <c r="B3" s="25" t="s">
        <v>8</v>
      </c>
      <c r="D3" s="27"/>
      <c r="E3" s="28"/>
    </row>
    <row r="4" spans="1:85" s="26" customFormat="1" ht="30" customHeight="1" x14ac:dyDescent="0.15">
      <c r="A4" s="14"/>
      <c r="B4" s="29" t="s">
        <v>13</v>
      </c>
      <c r="E4" s="30"/>
      <c r="I4" s="118">
        <f ca="1">I5</f>
        <v>45880</v>
      </c>
      <c r="J4" s="116"/>
      <c r="K4" s="116"/>
      <c r="L4" s="116"/>
      <c r="M4" s="116"/>
      <c r="N4" s="116"/>
      <c r="O4" s="116"/>
      <c r="P4" s="116">
        <f ca="1">P5</f>
        <v>45887</v>
      </c>
      <c r="Q4" s="116"/>
      <c r="R4" s="116"/>
      <c r="S4" s="116"/>
      <c r="T4" s="116"/>
      <c r="U4" s="116"/>
      <c r="V4" s="116"/>
      <c r="W4" s="116">
        <f ca="1">W5</f>
        <v>45894</v>
      </c>
      <c r="X4" s="116"/>
      <c r="Y4" s="116"/>
      <c r="Z4" s="116"/>
      <c r="AA4" s="116"/>
      <c r="AB4" s="116"/>
      <c r="AC4" s="116"/>
      <c r="AD4" s="116">
        <f ca="1">AD5</f>
        <v>45901</v>
      </c>
      <c r="AE4" s="116"/>
      <c r="AF4" s="116"/>
      <c r="AG4" s="116"/>
      <c r="AH4" s="116"/>
      <c r="AI4" s="116"/>
      <c r="AJ4" s="116"/>
      <c r="AK4" s="116">
        <f ca="1">AK5</f>
        <v>45908</v>
      </c>
      <c r="AL4" s="116"/>
      <c r="AM4" s="116"/>
      <c r="AN4" s="116"/>
      <c r="AO4" s="116"/>
      <c r="AP4" s="116"/>
      <c r="AQ4" s="116"/>
      <c r="AR4" s="116">
        <f ca="1">AR5</f>
        <v>45915</v>
      </c>
      <c r="AS4" s="116"/>
      <c r="AT4" s="116"/>
      <c r="AU4" s="116"/>
      <c r="AV4" s="116"/>
      <c r="AW4" s="116"/>
      <c r="AX4" s="116"/>
      <c r="AY4" s="116">
        <f ca="1">AY5</f>
        <v>45922</v>
      </c>
      <c r="AZ4" s="116"/>
      <c r="BA4" s="116"/>
      <c r="BB4" s="116"/>
      <c r="BC4" s="116"/>
      <c r="BD4" s="116"/>
      <c r="BE4" s="116"/>
      <c r="BF4" s="116">
        <f ca="1">BF5</f>
        <v>45929</v>
      </c>
      <c r="BG4" s="116"/>
      <c r="BH4" s="116"/>
      <c r="BI4" s="116"/>
      <c r="BJ4" s="116"/>
      <c r="BK4" s="116"/>
      <c r="BL4" s="117"/>
      <c r="BM4" s="116">
        <f ca="1">BM5</f>
        <v>45936</v>
      </c>
      <c r="BN4" s="116"/>
      <c r="BO4" s="116"/>
      <c r="BP4" s="116"/>
      <c r="BQ4" s="116"/>
      <c r="BR4" s="116"/>
      <c r="BS4" s="117"/>
      <c r="BT4" s="116">
        <f ca="1">BT5</f>
        <v>45943</v>
      </c>
      <c r="BU4" s="116"/>
      <c r="BV4" s="116"/>
      <c r="BW4" s="116"/>
      <c r="BX4" s="116"/>
      <c r="BY4" s="116"/>
      <c r="BZ4" s="117"/>
      <c r="CA4" s="116">
        <f ca="1">CA5</f>
        <v>45950</v>
      </c>
      <c r="CB4" s="116"/>
      <c r="CC4" s="116"/>
      <c r="CD4" s="116"/>
      <c r="CE4" s="116"/>
      <c r="CF4" s="116"/>
      <c r="CG4" s="117"/>
    </row>
    <row r="5" spans="1:85" s="26" customFormat="1" ht="15" customHeight="1" x14ac:dyDescent="0.15">
      <c r="A5" s="105"/>
      <c r="B5" s="106" t="s">
        <v>5</v>
      </c>
      <c r="C5" s="108" t="s">
        <v>26</v>
      </c>
      <c r="D5" s="110" t="s">
        <v>1</v>
      </c>
      <c r="E5" s="110" t="s">
        <v>3</v>
      </c>
      <c r="F5" s="110" t="s">
        <v>4</v>
      </c>
      <c r="I5" s="31">
        <f ca="1">Project_Start-WEEKDAY(Project_Start,1)+2+7*(Display_Week-1)</f>
        <v>45880</v>
      </c>
      <c r="J5" s="31">
        <f ca="1">I5+1</f>
        <v>45881</v>
      </c>
      <c r="K5" s="31">
        <f t="shared" ref="K5:AX5" ca="1" si="0">J5+1</f>
        <v>45882</v>
      </c>
      <c r="L5" s="31">
        <f t="shared" ca="1" si="0"/>
        <v>45883</v>
      </c>
      <c r="M5" s="31">
        <f t="shared" ca="1" si="0"/>
        <v>45884</v>
      </c>
      <c r="N5" s="31">
        <f t="shared" ca="1" si="0"/>
        <v>45885</v>
      </c>
      <c r="O5" s="32">
        <f t="shared" ca="1" si="0"/>
        <v>45886</v>
      </c>
      <c r="P5" s="33">
        <f ca="1">O5+1</f>
        <v>45887</v>
      </c>
      <c r="Q5" s="31">
        <f ca="1">P5+1</f>
        <v>45888</v>
      </c>
      <c r="R5" s="31">
        <f t="shared" ca="1" si="0"/>
        <v>45889</v>
      </c>
      <c r="S5" s="31">
        <f t="shared" ca="1" si="0"/>
        <v>45890</v>
      </c>
      <c r="T5" s="31">
        <f t="shared" ca="1" si="0"/>
        <v>45891</v>
      </c>
      <c r="U5" s="31">
        <f t="shared" ca="1" si="0"/>
        <v>45892</v>
      </c>
      <c r="V5" s="32">
        <f t="shared" ca="1" si="0"/>
        <v>45893</v>
      </c>
      <c r="W5" s="33">
        <f ca="1">V5+1</f>
        <v>45894</v>
      </c>
      <c r="X5" s="31">
        <f ca="1">W5+1</f>
        <v>45895</v>
      </c>
      <c r="Y5" s="31">
        <f t="shared" ca="1" si="0"/>
        <v>45896</v>
      </c>
      <c r="Z5" s="31">
        <f t="shared" ca="1" si="0"/>
        <v>45897</v>
      </c>
      <c r="AA5" s="31">
        <f t="shared" ca="1" si="0"/>
        <v>45898</v>
      </c>
      <c r="AB5" s="31">
        <f t="shared" ca="1" si="0"/>
        <v>45899</v>
      </c>
      <c r="AC5" s="32">
        <f t="shared" ca="1" si="0"/>
        <v>45900</v>
      </c>
      <c r="AD5" s="33">
        <f ca="1">AC5+1</f>
        <v>45901</v>
      </c>
      <c r="AE5" s="31">
        <f ca="1">AD5+1</f>
        <v>45902</v>
      </c>
      <c r="AF5" s="31">
        <f t="shared" ca="1" si="0"/>
        <v>45903</v>
      </c>
      <c r="AG5" s="31">
        <f t="shared" ca="1" si="0"/>
        <v>45904</v>
      </c>
      <c r="AH5" s="31">
        <f t="shared" ca="1" si="0"/>
        <v>45905</v>
      </c>
      <c r="AI5" s="31">
        <f t="shared" ca="1" si="0"/>
        <v>45906</v>
      </c>
      <c r="AJ5" s="32">
        <f t="shared" ca="1" si="0"/>
        <v>45907</v>
      </c>
      <c r="AK5" s="33">
        <f ca="1">AJ5+1</f>
        <v>45908</v>
      </c>
      <c r="AL5" s="31">
        <f ca="1">AK5+1</f>
        <v>45909</v>
      </c>
      <c r="AM5" s="31">
        <f t="shared" ca="1" si="0"/>
        <v>45910</v>
      </c>
      <c r="AN5" s="31">
        <f t="shared" ca="1" si="0"/>
        <v>45911</v>
      </c>
      <c r="AO5" s="31">
        <f t="shared" ca="1" si="0"/>
        <v>45912</v>
      </c>
      <c r="AP5" s="31">
        <f t="shared" ca="1" si="0"/>
        <v>45913</v>
      </c>
      <c r="AQ5" s="32">
        <f t="shared" ca="1" si="0"/>
        <v>45914</v>
      </c>
      <c r="AR5" s="33">
        <f ca="1">AQ5+1</f>
        <v>45915</v>
      </c>
      <c r="AS5" s="31">
        <f ca="1">AR5+1</f>
        <v>45916</v>
      </c>
      <c r="AT5" s="31">
        <f t="shared" ca="1" si="0"/>
        <v>45917</v>
      </c>
      <c r="AU5" s="31">
        <f t="shared" ca="1" si="0"/>
        <v>45918</v>
      </c>
      <c r="AV5" s="31">
        <f t="shared" ca="1" si="0"/>
        <v>45919</v>
      </c>
      <c r="AW5" s="31">
        <f t="shared" ca="1" si="0"/>
        <v>45920</v>
      </c>
      <c r="AX5" s="32">
        <f t="shared" ca="1" si="0"/>
        <v>45921</v>
      </c>
      <c r="AY5" s="33">
        <f ca="1">AX5+1</f>
        <v>45922</v>
      </c>
      <c r="AZ5" s="31">
        <f ca="1">AY5+1</f>
        <v>45923</v>
      </c>
      <c r="BA5" s="31">
        <f t="shared" ref="BA5:BE5" ca="1" si="1">AZ5+1</f>
        <v>45924</v>
      </c>
      <c r="BB5" s="31">
        <f t="shared" ca="1" si="1"/>
        <v>45925</v>
      </c>
      <c r="BC5" s="31">
        <f t="shared" ca="1" si="1"/>
        <v>45926</v>
      </c>
      <c r="BD5" s="31">
        <f t="shared" ca="1" si="1"/>
        <v>45927</v>
      </c>
      <c r="BE5" s="32">
        <f t="shared" ca="1" si="1"/>
        <v>45928</v>
      </c>
      <c r="BF5" s="33">
        <f ca="1">BE5+1</f>
        <v>45929</v>
      </c>
      <c r="BG5" s="31">
        <f ca="1">BF5+1</f>
        <v>45930</v>
      </c>
      <c r="BH5" s="31">
        <f t="shared" ref="BH5:BL5" ca="1" si="2">BG5+1</f>
        <v>45931</v>
      </c>
      <c r="BI5" s="31">
        <f t="shared" ca="1" si="2"/>
        <v>45932</v>
      </c>
      <c r="BJ5" s="31">
        <f t="shared" ca="1" si="2"/>
        <v>45933</v>
      </c>
      <c r="BK5" s="31">
        <f t="shared" ca="1" si="2"/>
        <v>45934</v>
      </c>
      <c r="BL5" s="31">
        <f t="shared" ca="1" si="2"/>
        <v>45935</v>
      </c>
      <c r="BM5" s="33">
        <f ca="1">BL5+1</f>
        <v>45936</v>
      </c>
      <c r="BN5" s="31">
        <f ca="1">BM5+1</f>
        <v>45937</v>
      </c>
      <c r="BO5" s="31">
        <f t="shared" ref="BO5" ca="1" si="3">BN5+1</f>
        <v>45938</v>
      </c>
      <c r="BP5" s="31">
        <f t="shared" ref="BP5" ca="1" si="4">BO5+1</f>
        <v>45939</v>
      </c>
      <c r="BQ5" s="31">
        <f t="shared" ref="BQ5" ca="1" si="5">BP5+1</f>
        <v>45940</v>
      </c>
      <c r="BR5" s="31">
        <f t="shared" ref="BR5" ca="1" si="6">BQ5+1</f>
        <v>45941</v>
      </c>
      <c r="BS5" s="31">
        <f t="shared" ref="BS5" ca="1" si="7">BR5+1</f>
        <v>45942</v>
      </c>
      <c r="BT5" s="33">
        <f ca="1">BS5+1</f>
        <v>45943</v>
      </c>
      <c r="BU5" s="31">
        <f ca="1">BT5+1</f>
        <v>45944</v>
      </c>
      <c r="BV5" s="31">
        <f t="shared" ref="BV5" ca="1" si="8">BU5+1</f>
        <v>45945</v>
      </c>
      <c r="BW5" s="31">
        <f t="shared" ref="BW5" ca="1" si="9">BV5+1</f>
        <v>45946</v>
      </c>
      <c r="BX5" s="31">
        <f t="shared" ref="BX5" ca="1" si="10">BW5+1</f>
        <v>45947</v>
      </c>
      <c r="BY5" s="31">
        <f t="shared" ref="BY5" ca="1" si="11">BX5+1</f>
        <v>45948</v>
      </c>
      <c r="BZ5" s="31">
        <f t="shared" ref="BZ5" ca="1" si="12">BY5+1</f>
        <v>45949</v>
      </c>
      <c r="CA5" s="33">
        <f ca="1">BZ5+1</f>
        <v>45950</v>
      </c>
      <c r="CB5" s="31">
        <f ca="1">CA5+1</f>
        <v>45951</v>
      </c>
      <c r="CC5" s="31">
        <f t="shared" ref="CC5" ca="1" si="13">CB5+1</f>
        <v>45952</v>
      </c>
      <c r="CD5" s="31">
        <f t="shared" ref="CD5" ca="1" si="14">CC5+1</f>
        <v>45953</v>
      </c>
      <c r="CE5" s="31">
        <f t="shared" ref="CE5" ca="1" si="15">CD5+1</f>
        <v>45954</v>
      </c>
      <c r="CF5" s="31">
        <f t="shared" ref="CF5" ca="1" si="16">CE5+1</f>
        <v>45955</v>
      </c>
      <c r="CG5" s="31">
        <f t="shared" ref="CG5" ca="1" si="17">CF5+1</f>
        <v>45956</v>
      </c>
    </row>
    <row r="6" spans="1:85" s="26" customFormat="1" ht="15" customHeight="1" thickBot="1" x14ac:dyDescent="0.2">
      <c r="A6" s="105"/>
      <c r="B6" s="107"/>
      <c r="C6" s="109"/>
      <c r="D6" s="109"/>
      <c r="E6" s="109"/>
      <c r="F6" s="109"/>
      <c r="I6" s="34" t="str">
        <f t="shared" ref="I6:AN6" ca="1" si="18">LEFT(TEXT(I5,"ddd"),1)</f>
        <v>M</v>
      </c>
      <c r="J6" s="35" t="str">
        <f t="shared" ca="1" si="18"/>
        <v>T</v>
      </c>
      <c r="K6" s="35" t="str">
        <f t="shared" ca="1" si="18"/>
        <v>W</v>
      </c>
      <c r="L6" s="35" t="str">
        <f t="shared" ca="1" si="18"/>
        <v>T</v>
      </c>
      <c r="M6" s="35" t="str">
        <f t="shared" ca="1" si="18"/>
        <v>F</v>
      </c>
      <c r="N6" s="35" t="str">
        <f t="shared" ca="1" si="18"/>
        <v>S</v>
      </c>
      <c r="O6" s="35" t="str">
        <f t="shared" ca="1" si="18"/>
        <v>S</v>
      </c>
      <c r="P6" s="35" t="str">
        <f t="shared" ca="1" si="18"/>
        <v>M</v>
      </c>
      <c r="Q6" s="35" t="str">
        <f t="shared" ca="1" si="18"/>
        <v>T</v>
      </c>
      <c r="R6" s="35" t="str">
        <f t="shared" ca="1" si="18"/>
        <v>W</v>
      </c>
      <c r="S6" s="35" t="str">
        <f t="shared" ca="1" si="18"/>
        <v>T</v>
      </c>
      <c r="T6" s="35" t="str">
        <f t="shared" ca="1" si="18"/>
        <v>F</v>
      </c>
      <c r="U6" s="35" t="str">
        <f t="shared" ca="1" si="18"/>
        <v>S</v>
      </c>
      <c r="V6" s="35" t="str">
        <f t="shared" ca="1" si="18"/>
        <v>S</v>
      </c>
      <c r="W6" s="35" t="str">
        <f t="shared" ca="1" si="18"/>
        <v>M</v>
      </c>
      <c r="X6" s="35" t="str">
        <f t="shared" ca="1" si="18"/>
        <v>T</v>
      </c>
      <c r="Y6" s="35" t="str">
        <f t="shared" ca="1" si="18"/>
        <v>W</v>
      </c>
      <c r="Z6" s="35" t="str">
        <f t="shared" ca="1" si="18"/>
        <v>T</v>
      </c>
      <c r="AA6" s="35" t="str">
        <f t="shared" ca="1" si="18"/>
        <v>F</v>
      </c>
      <c r="AB6" s="35" t="str">
        <f t="shared" ca="1" si="18"/>
        <v>S</v>
      </c>
      <c r="AC6" s="35" t="str">
        <f t="shared" ca="1" si="18"/>
        <v>S</v>
      </c>
      <c r="AD6" s="35" t="str">
        <f t="shared" ca="1" si="18"/>
        <v>M</v>
      </c>
      <c r="AE6" s="35" t="str">
        <f t="shared" ca="1" si="18"/>
        <v>T</v>
      </c>
      <c r="AF6" s="35" t="str">
        <f t="shared" ca="1" si="18"/>
        <v>W</v>
      </c>
      <c r="AG6" s="35" t="str">
        <f t="shared" ca="1" si="18"/>
        <v>T</v>
      </c>
      <c r="AH6" s="35" t="str">
        <f t="shared" ca="1" si="18"/>
        <v>F</v>
      </c>
      <c r="AI6" s="35" t="str">
        <f t="shared" ca="1" si="18"/>
        <v>S</v>
      </c>
      <c r="AJ6" s="35" t="str">
        <f t="shared" ca="1" si="18"/>
        <v>S</v>
      </c>
      <c r="AK6" s="35" t="str">
        <f t="shared" ca="1" si="18"/>
        <v>M</v>
      </c>
      <c r="AL6" s="35" t="str">
        <f t="shared" ca="1" si="18"/>
        <v>T</v>
      </c>
      <c r="AM6" s="35" t="str">
        <f t="shared" ca="1" si="18"/>
        <v>W</v>
      </c>
      <c r="AN6" s="35" t="str">
        <f t="shared" ca="1" si="18"/>
        <v>T</v>
      </c>
      <c r="AO6" s="35" t="str">
        <f t="shared" ref="AO6:BL6" ca="1" si="19">LEFT(TEXT(AO5,"ddd"),1)</f>
        <v>F</v>
      </c>
      <c r="AP6" s="35" t="str">
        <f t="shared" ca="1" si="19"/>
        <v>S</v>
      </c>
      <c r="AQ6" s="35" t="str">
        <f t="shared" ca="1" si="19"/>
        <v>S</v>
      </c>
      <c r="AR6" s="35" t="str">
        <f t="shared" ca="1" si="19"/>
        <v>M</v>
      </c>
      <c r="AS6" s="35" t="str">
        <f t="shared" ca="1" si="19"/>
        <v>T</v>
      </c>
      <c r="AT6" s="35" t="str">
        <f t="shared" ca="1" si="19"/>
        <v>W</v>
      </c>
      <c r="AU6" s="35" t="str">
        <f t="shared" ca="1" si="19"/>
        <v>T</v>
      </c>
      <c r="AV6" s="35" t="str">
        <f t="shared" ca="1" si="19"/>
        <v>F</v>
      </c>
      <c r="AW6" s="35" t="str">
        <f t="shared" ca="1" si="19"/>
        <v>S</v>
      </c>
      <c r="AX6" s="35" t="str">
        <f t="shared" ca="1" si="19"/>
        <v>S</v>
      </c>
      <c r="AY6" s="35" t="str">
        <f t="shared" ca="1" si="19"/>
        <v>M</v>
      </c>
      <c r="AZ6" s="35" t="str">
        <f t="shared" ca="1" si="19"/>
        <v>T</v>
      </c>
      <c r="BA6" s="35" t="str">
        <f t="shared" ca="1" si="19"/>
        <v>W</v>
      </c>
      <c r="BB6" s="35" t="str">
        <f t="shared" ca="1" si="19"/>
        <v>T</v>
      </c>
      <c r="BC6" s="35" t="str">
        <f t="shared" ca="1" si="19"/>
        <v>F</v>
      </c>
      <c r="BD6" s="35" t="str">
        <f t="shared" ca="1" si="19"/>
        <v>S</v>
      </c>
      <c r="BE6" s="35" t="str">
        <f t="shared" ca="1" si="19"/>
        <v>S</v>
      </c>
      <c r="BF6" s="35" t="str">
        <f t="shared" ca="1" si="19"/>
        <v>M</v>
      </c>
      <c r="BG6" s="35" t="str">
        <f t="shared" ca="1" si="19"/>
        <v>T</v>
      </c>
      <c r="BH6" s="35" t="str">
        <f t="shared" ca="1" si="19"/>
        <v>W</v>
      </c>
      <c r="BI6" s="35" t="str">
        <f t="shared" ca="1" si="19"/>
        <v>T</v>
      </c>
      <c r="BJ6" s="35" t="str">
        <f t="shared" ca="1" si="19"/>
        <v>F</v>
      </c>
      <c r="BK6" s="35" t="str">
        <f t="shared" ca="1" si="19"/>
        <v>S</v>
      </c>
      <c r="BL6" s="36" t="str">
        <f t="shared" ca="1" si="19"/>
        <v>S</v>
      </c>
      <c r="BM6" s="35" t="str">
        <f t="shared" ref="BM6:BZ6" ca="1" si="20">LEFT(TEXT(BM5,"ddd"),1)</f>
        <v>M</v>
      </c>
      <c r="BN6" s="35" t="str">
        <f t="shared" ca="1" si="20"/>
        <v>T</v>
      </c>
      <c r="BO6" s="35" t="str">
        <f t="shared" ca="1" si="20"/>
        <v>W</v>
      </c>
      <c r="BP6" s="35" t="str">
        <f t="shared" ca="1" si="20"/>
        <v>T</v>
      </c>
      <c r="BQ6" s="35" t="str">
        <f t="shared" ca="1" si="20"/>
        <v>F</v>
      </c>
      <c r="BR6" s="35" t="str">
        <f t="shared" ca="1" si="20"/>
        <v>S</v>
      </c>
      <c r="BS6" s="36" t="str">
        <f t="shared" ca="1" si="20"/>
        <v>S</v>
      </c>
      <c r="BT6" s="35" t="str">
        <f t="shared" ca="1" si="20"/>
        <v>M</v>
      </c>
      <c r="BU6" s="35" t="str">
        <f t="shared" ca="1" si="20"/>
        <v>T</v>
      </c>
      <c r="BV6" s="35" t="str">
        <f t="shared" ca="1" si="20"/>
        <v>W</v>
      </c>
      <c r="BW6" s="35" t="str">
        <f t="shared" ca="1" si="20"/>
        <v>T</v>
      </c>
      <c r="BX6" s="35" t="str">
        <f t="shared" ca="1" si="20"/>
        <v>F</v>
      </c>
      <c r="BY6" s="35" t="str">
        <f t="shared" ca="1" si="20"/>
        <v>S</v>
      </c>
      <c r="BZ6" s="36" t="str">
        <f t="shared" ca="1" si="20"/>
        <v>S</v>
      </c>
      <c r="CA6" s="35" t="str">
        <f t="shared" ref="CA6:CG6" ca="1" si="21">LEFT(TEXT(CA5,"ddd"),1)</f>
        <v>M</v>
      </c>
      <c r="CB6" s="35" t="str">
        <f t="shared" ca="1" si="21"/>
        <v>T</v>
      </c>
      <c r="CC6" s="35" t="str">
        <f t="shared" ca="1" si="21"/>
        <v>W</v>
      </c>
      <c r="CD6" s="35" t="str">
        <f t="shared" ca="1" si="21"/>
        <v>T</v>
      </c>
      <c r="CE6" s="35" t="str">
        <f t="shared" ca="1" si="21"/>
        <v>F</v>
      </c>
      <c r="CF6" s="35" t="str">
        <f t="shared" ca="1" si="21"/>
        <v>S</v>
      </c>
      <c r="CG6" s="36" t="str">
        <f t="shared" ca="1" si="21"/>
        <v>S</v>
      </c>
    </row>
    <row r="7" spans="1:85" s="26" customFormat="1" ht="30" hidden="1" customHeight="1" thickBot="1" x14ac:dyDescent="0.2">
      <c r="A7" s="13" t="s">
        <v>20</v>
      </c>
      <c r="B7" s="37"/>
      <c r="C7" s="38"/>
      <c r="D7" s="37"/>
      <c r="E7" s="37"/>
      <c r="F7" s="37"/>
      <c r="H7" s="26" t="str">
        <f>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row>
    <row r="8" spans="1:85" s="46" customFormat="1" ht="30" customHeight="1" thickBot="1" x14ac:dyDescent="0.2">
      <c r="A8" s="13"/>
      <c r="B8" s="65" t="s">
        <v>63</v>
      </c>
      <c r="C8" s="66"/>
      <c r="D8" s="67"/>
      <c r="E8" s="68"/>
      <c r="F8" s="69"/>
      <c r="G8" s="17"/>
      <c r="H8" s="5" t="str">
        <f t="shared" ref="H8:H42" si="22">IF(OR(ISBLANK(task_start),ISBLANK(task_end)),"",task_end-task_start+1)</f>
        <v/>
      </c>
      <c r="I8" s="70"/>
      <c r="J8" s="70"/>
      <c r="K8" s="70"/>
      <c r="L8" s="70"/>
      <c r="M8" s="70"/>
      <c r="N8" s="70"/>
      <c r="O8" s="70"/>
      <c r="P8" s="70"/>
      <c r="Q8" s="70"/>
      <c r="R8" s="70"/>
      <c r="S8" s="70"/>
      <c r="T8" s="70"/>
      <c r="U8" s="70"/>
      <c r="V8" s="70"/>
      <c r="W8" s="70"/>
      <c r="X8" s="70"/>
      <c r="Y8" s="70"/>
      <c r="Z8" s="70"/>
      <c r="AA8" s="70"/>
      <c r="AB8" s="70"/>
      <c r="AC8" s="70"/>
      <c r="AD8" s="70"/>
      <c r="AE8" s="70"/>
      <c r="AF8" s="70"/>
      <c r="AG8" s="70"/>
      <c r="AH8" s="70"/>
      <c r="AI8" s="70"/>
      <c r="AJ8" s="70"/>
      <c r="AK8" s="70"/>
      <c r="AL8" s="70"/>
      <c r="AM8" s="70"/>
      <c r="AN8" s="70"/>
      <c r="AO8" s="70"/>
      <c r="AP8" s="70"/>
      <c r="AQ8" s="70"/>
      <c r="AR8" s="70"/>
      <c r="AS8" s="70"/>
      <c r="AT8" s="70"/>
      <c r="AU8" s="70"/>
      <c r="AV8" s="70"/>
      <c r="AW8" s="70"/>
      <c r="AX8" s="70"/>
      <c r="AY8" s="70"/>
      <c r="AZ8" s="70"/>
      <c r="BA8" s="70"/>
      <c r="BB8" s="70"/>
      <c r="BC8" s="70"/>
      <c r="BD8" s="70"/>
      <c r="BE8" s="70"/>
      <c r="BF8" s="70"/>
      <c r="BG8" s="70"/>
      <c r="BH8" s="70"/>
      <c r="BI8" s="70"/>
      <c r="BJ8" s="70"/>
      <c r="BK8" s="70"/>
      <c r="BL8" s="70"/>
      <c r="BM8" s="70"/>
      <c r="BN8" s="70"/>
      <c r="BO8" s="70"/>
      <c r="BP8" s="70"/>
      <c r="BQ8" s="70"/>
      <c r="BR8" s="70"/>
      <c r="BS8" s="70"/>
      <c r="BT8" s="70"/>
      <c r="BU8" s="70"/>
      <c r="BV8" s="70"/>
      <c r="BW8" s="70"/>
      <c r="BX8" s="70"/>
      <c r="BY8" s="70"/>
      <c r="BZ8" s="70"/>
      <c r="CA8" s="70"/>
      <c r="CB8" s="70"/>
      <c r="CC8" s="70"/>
      <c r="CD8" s="70"/>
      <c r="CE8" s="70"/>
      <c r="CF8" s="70"/>
      <c r="CG8" s="70"/>
    </row>
    <row r="9" spans="1:85" s="46" customFormat="1" ht="30" customHeight="1" thickBot="1" x14ac:dyDescent="0.2">
      <c r="A9" s="13"/>
      <c r="B9" s="71" t="s">
        <v>61</v>
      </c>
      <c r="C9" s="72" t="s">
        <v>58</v>
      </c>
      <c r="D9" s="73">
        <v>0.5</v>
      </c>
      <c r="E9" s="74">
        <f ca="1">E26+15</f>
        <v>45899</v>
      </c>
      <c r="F9" s="74">
        <f ca="1">E9+5</f>
        <v>45904</v>
      </c>
      <c r="G9" s="17"/>
      <c r="H9" s="5">
        <f t="shared" ca="1" si="22"/>
        <v>6</v>
      </c>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c r="BM9" s="51"/>
      <c r="BN9" s="51"/>
      <c r="BO9" s="51"/>
      <c r="BP9" s="51"/>
      <c r="BQ9" s="51"/>
      <c r="BR9" s="51"/>
      <c r="BS9" s="51"/>
      <c r="BT9" s="51"/>
      <c r="BU9" s="51"/>
      <c r="BV9" s="51"/>
      <c r="BW9" s="51"/>
      <c r="BX9" s="51"/>
      <c r="BY9" s="51"/>
      <c r="BZ9" s="51"/>
      <c r="CA9" s="51"/>
      <c r="CB9" s="51"/>
      <c r="CC9" s="51"/>
      <c r="CD9" s="51"/>
      <c r="CE9" s="51"/>
      <c r="CF9" s="51"/>
      <c r="CG9" s="51"/>
    </row>
    <row r="10" spans="1:85" s="46" customFormat="1" ht="30" customHeight="1" thickBot="1" x14ac:dyDescent="0.2">
      <c r="A10" s="13"/>
      <c r="B10" s="71" t="s">
        <v>49</v>
      </c>
      <c r="C10" s="72" t="s">
        <v>58</v>
      </c>
      <c r="D10" s="73">
        <v>0.5</v>
      </c>
      <c r="E10" s="74">
        <f>E25+15</f>
        <v>15</v>
      </c>
      <c r="F10" s="74">
        <f>E10+5</f>
        <v>20</v>
      </c>
      <c r="G10" s="17"/>
      <c r="H10" s="5">
        <f t="shared" si="22"/>
        <v>6</v>
      </c>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c r="BM10" s="51"/>
      <c r="BN10" s="51"/>
      <c r="BO10" s="51"/>
      <c r="BP10" s="51"/>
      <c r="BQ10" s="51"/>
      <c r="BR10" s="51"/>
      <c r="BS10" s="51"/>
      <c r="BT10" s="51"/>
      <c r="BU10" s="51"/>
      <c r="BV10" s="51"/>
      <c r="BW10" s="51"/>
      <c r="BX10" s="51"/>
      <c r="BY10" s="51"/>
      <c r="BZ10" s="51"/>
      <c r="CA10" s="51"/>
      <c r="CB10" s="51"/>
      <c r="CC10" s="51"/>
      <c r="CD10" s="51"/>
      <c r="CE10" s="51"/>
      <c r="CF10" s="51"/>
      <c r="CG10" s="51"/>
    </row>
    <row r="11" spans="1:85" s="46" customFormat="1" ht="30" customHeight="1" thickBot="1" x14ac:dyDescent="0.2">
      <c r="A11" s="13"/>
      <c r="B11" s="71" t="s">
        <v>44</v>
      </c>
      <c r="C11" s="72" t="s">
        <v>58</v>
      </c>
      <c r="D11" s="73">
        <v>0.5</v>
      </c>
      <c r="E11" s="74">
        <f ca="1">E26+15</f>
        <v>45899</v>
      </c>
      <c r="F11" s="74">
        <f ca="1">E11+5</f>
        <v>45904</v>
      </c>
      <c r="G11" s="17"/>
      <c r="H11" s="5">
        <f t="shared" ca="1" si="22"/>
        <v>6</v>
      </c>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c r="BM11" s="51"/>
      <c r="BN11" s="51"/>
      <c r="BO11" s="51"/>
      <c r="BP11" s="51"/>
      <c r="BQ11" s="51"/>
      <c r="BR11" s="51"/>
      <c r="BS11" s="51"/>
      <c r="BT11" s="51"/>
      <c r="BU11" s="51"/>
      <c r="BV11" s="51"/>
      <c r="BW11" s="51"/>
      <c r="BX11" s="51"/>
      <c r="BY11" s="51"/>
      <c r="BZ11" s="51"/>
      <c r="CA11" s="51"/>
      <c r="CB11" s="51"/>
      <c r="CC11" s="51"/>
      <c r="CD11" s="51"/>
      <c r="CE11" s="51"/>
      <c r="CF11" s="51"/>
      <c r="CG11" s="51"/>
    </row>
    <row r="12" spans="1:85" s="46" customFormat="1" ht="30" customHeight="1" thickBot="1" x14ac:dyDescent="0.2">
      <c r="A12" s="13"/>
      <c r="B12" s="71" t="s">
        <v>43</v>
      </c>
      <c r="C12" s="72" t="s">
        <v>58</v>
      </c>
      <c r="D12" s="73">
        <v>0.6</v>
      </c>
      <c r="E12" s="74">
        <f ca="1">F11+1</f>
        <v>45905</v>
      </c>
      <c r="F12" s="74">
        <f ca="1">E12+4</f>
        <v>45909</v>
      </c>
      <c r="G12" s="17"/>
      <c r="H12" s="5">
        <f t="shared" ca="1" si="22"/>
        <v>5</v>
      </c>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c r="BM12" s="51"/>
      <c r="BN12" s="51"/>
      <c r="BO12" s="51"/>
      <c r="BP12" s="51"/>
      <c r="BQ12" s="51"/>
      <c r="BR12" s="51"/>
      <c r="BS12" s="51"/>
      <c r="BT12" s="51"/>
      <c r="BU12" s="51"/>
      <c r="BV12" s="51"/>
      <c r="BW12" s="51"/>
      <c r="BX12" s="51"/>
      <c r="BY12" s="51"/>
      <c r="BZ12" s="51"/>
      <c r="CA12" s="51"/>
      <c r="CB12" s="51"/>
      <c r="CC12" s="51"/>
      <c r="CD12" s="51"/>
      <c r="CE12" s="51"/>
      <c r="CF12" s="51"/>
      <c r="CG12" s="51"/>
    </row>
    <row r="13" spans="1:85" s="46" customFormat="1" ht="30" customHeight="1" thickBot="1" x14ac:dyDescent="0.2">
      <c r="A13" s="13"/>
      <c r="B13" s="71" t="s">
        <v>45</v>
      </c>
      <c r="C13" s="72" t="s">
        <v>58</v>
      </c>
      <c r="D13" s="73">
        <v>0.5</v>
      </c>
      <c r="E13" s="74">
        <f ca="1">E12+5</f>
        <v>45910</v>
      </c>
      <c r="F13" s="74">
        <f ca="1">E13+5</f>
        <v>45915</v>
      </c>
      <c r="G13" s="17"/>
      <c r="H13" s="5">
        <f t="shared" ca="1" si="22"/>
        <v>6</v>
      </c>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c r="BO13" s="51"/>
      <c r="BP13" s="51"/>
      <c r="BQ13" s="51"/>
      <c r="BR13" s="51"/>
      <c r="BS13" s="51"/>
      <c r="BT13" s="51"/>
      <c r="BU13" s="51"/>
      <c r="BV13" s="51"/>
      <c r="BW13" s="51"/>
      <c r="BX13" s="51"/>
      <c r="BY13" s="51"/>
      <c r="BZ13" s="51"/>
      <c r="CA13" s="51"/>
      <c r="CB13" s="51"/>
      <c r="CC13" s="51"/>
      <c r="CD13" s="51"/>
      <c r="CE13" s="51"/>
      <c r="CF13" s="51"/>
      <c r="CG13" s="51"/>
    </row>
    <row r="14" spans="1:85" s="46" customFormat="1" ht="30" customHeight="1" thickBot="1" x14ac:dyDescent="0.2">
      <c r="A14" s="13"/>
      <c r="B14" s="71" t="s">
        <v>48</v>
      </c>
      <c r="C14" s="72" t="s">
        <v>58</v>
      </c>
      <c r="D14" s="73">
        <v>0.25</v>
      </c>
      <c r="E14" s="74">
        <f ca="1">F12+1</f>
        <v>45910</v>
      </c>
      <c r="F14" s="74">
        <f ca="1">E14+4</f>
        <v>45914</v>
      </c>
      <c r="G14" s="17"/>
      <c r="H14" s="5">
        <f t="shared" ca="1" si="22"/>
        <v>5</v>
      </c>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1"/>
      <c r="CG14" s="51"/>
    </row>
    <row r="15" spans="1:85" s="46" customFormat="1" ht="30" customHeight="1" thickBot="1" x14ac:dyDescent="0.2">
      <c r="A15" s="13"/>
      <c r="B15" s="71" t="s">
        <v>62</v>
      </c>
      <c r="C15" s="72" t="s">
        <v>58</v>
      </c>
      <c r="D15" s="73">
        <v>0.25</v>
      </c>
      <c r="E15" s="74">
        <f ca="1">F13+1</f>
        <v>45916</v>
      </c>
      <c r="F15" s="74">
        <f ca="1">E15+4</f>
        <v>45920</v>
      </c>
      <c r="G15" s="17"/>
      <c r="H15" s="5">
        <f t="shared" ca="1" si="22"/>
        <v>5</v>
      </c>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c r="BM15" s="51"/>
      <c r="BN15" s="51"/>
      <c r="BO15" s="51"/>
      <c r="BP15" s="51"/>
      <c r="BQ15" s="51"/>
      <c r="BR15" s="51"/>
      <c r="BS15" s="51"/>
      <c r="BT15" s="51"/>
      <c r="BU15" s="51"/>
      <c r="BV15" s="51"/>
      <c r="BW15" s="51"/>
      <c r="BX15" s="51"/>
      <c r="BY15" s="51"/>
      <c r="BZ15" s="51"/>
      <c r="CA15" s="51"/>
      <c r="CB15" s="51"/>
      <c r="CC15" s="51"/>
      <c r="CD15" s="51"/>
      <c r="CE15" s="51"/>
      <c r="CF15" s="51"/>
      <c r="CG15" s="51"/>
    </row>
    <row r="16" spans="1:85" s="46" customFormat="1" ht="30" customHeight="1" thickBot="1" x14ac:dyDescent="0.2">
      <c r="A16" s="14"/>
      <c r="B16" s="56" t="s">
        <v>39</v>
      </c>
      <c r="C16" s="57"/>
      <c r="D16" s="58"/>
      <c r="E16" s="59"/>
      <c r="F16" s="60"/>
      <c r="G16" s="17"/>
      <c r="H16" s="5" t="str">
        <f t="shared" si="22"/>
        <v/>
      </c>
    </row>
    <row r="17" spans="1:85" s="46" customFormat="1" ht="30" customHeight="1" thickBot="1" x14ac:dyDescent="0.2">
      <c r="A17" s="14"/>
      <c r="B17" s="61" t="s">
        <v>40</v>
      </c>
      <c r="C17" s="62" t="s">
        <v>53</v>
      </c>
      <c r="D17" s="63">
        <v>0.5</v>
      </c>
      <c r="E17" s="64">
        <f ca="1">E35+1</f>
        <v>45889</v>
      </c>
      <c r="F17" s="64">
        <f ca="1">E17+4</f>
        <v>45893</v>
      </c>
      <c r="G17" s="17"/>
      <c r="H17" s="5">
        <f t="shared" ca="1" si="22"/>
        <v>5</v>
      </c>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c r="BM17" s="51"/>
      <c r="BN17" s="51"/>
      <c r="BO17" s="51"/>
      <c r="BP17" s="51"/>
      <c r="BQ17" s="51"/>
      <c r="BR17" s="51"/>
      <c r="BS17" s="51"/>
      <c r="BT17" s="51"/>
      <c r="BU17" s="51"/>
      <c r="BV17" s="51"/>
      <c r="BW17" s="51"/>
      <c r="BX17" s="51"/>
      <c r="BY17" s="51"/>
      <c r="BZ17" s="51"/>
      <c r="CA17" s="51"/>
      <c r="CB17" s="51"/>
      <c r="CC17" s="51"/>
      <c r="CD17" s="51"/>
      <c r="CE17" s="51"/>
      <c r="CF17" s="51"/>
      <c r="CG17" s="51"/>
    </row>
    <row r="18" spans="1:85" s="46" customFormat="1" ht="30" customHeight="1" thickBot="1" x14ac:dyDescent="0.2">
      <c r="A18" s="13"/>
      <c r="B18" s="61" t="s">
        <v>41</v>
      </c>
      <c r="C18" s="62" t="s">
        <v>53</v>
      </c>
      <c r="D18" s="63">
        <v>0.5</v>
      </c>
      <c r="E18" s="64">
        <f ca="1">E17+2</f>
        <v>45891</v>
      </c>
      <c r="F18" s="64">
        <f ca="1">E18+5</f>
        <v>45896</v>
      </c>
      <c r="G18" s="17"/>
      <c r="H18" s="5">
        <f t="shared" ca="1" si="22"/>
        <v>6</v>
      </c>
      <c r="I18" s="51"/>
      <c r="J18" s="51"/>
      <c r="K18" s="51"/>
      <c r="L18" s="51"/>
      <c r="M18" s="51"/>
      <c r="N18" s="51"/>
      <c r="O18" s="51"/>
      <c r="P18" s="51"/>
      <c r="Q18" s="51"/>
      <c r="R18" s="51"/>
      <c r="S18" s="51"/>
      <c r="T18" s="51"/>
      <c r="U18" s="55"/>
      <c r="V18" s="55"/>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c r="BM18" s="51"/>
      <c r="BN18" s="51"/>
      <c r="BO18" s="51"/>
      <c r="BP18" s="51"/>
      <c r="BQ18" s="51"/>
      <c r="BR18" s="51"/>
      <c r="BS18" s="51"/>
      <c r="BT18" s="51"/>
      <c r="BU18" s="51"/>
      <c r="BV18" s="51"/>
      <c r="BW18" s="51"/>
      <c r="BX18" s="51"/>
      <c r="BY18" s="51"/>
      <c r="BZ18" s="51"/>
      <c r="CA18" s="51"/>
      <c r="CB18" s="51"/>
      <c r="CC18" s="51"/>
      <c r="CD18" s="51"/>
      <c r="CE18" s="51"/>
      <c r="CF18" s="51"/>
      <c r="CG18" s="51"/>
    </row>
    <row r="19" spans="1:85" s="46" customFormat="1" ht="30" customHeight="1" thickBot="1" x14ac:dyDescent="0.2">
      <c r="A19" s="13"/>
      <c r="B19" s="61" t="s">
        <v>37</v>
      </c>
      <c r="C19" s="62" t="s">
        <v>53</v>
      </c>
      <c r="D19" s="63"/>
      <c r="E19" s="64">
        <f ca="1">F18</f>
        <v>45896</v>
      </c>
      <c r="F19" s="64">
        <f ca="1">E19+3</f>
        <v>45899</v>
      </c>
      <c r="G19" s="17"/>
      <c r="H19" s="5">
        <f t="shared" ca="1" si="22"/>
        <v>4</v>
      </c>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c r="BM19" s="51"/>
      <c r="BN19" s="51"/>
      <c r="BO19" s="51"/>
      <c r="BP19" s="51"/>
      <c r="BQ19" s="51"/>
      <c r="BR19" s="51"/>
      <c r="BS19" s="51"/>
      <c r="BT19" s="51"/>
      <c r="BU19" s="51"/>
      <c r="BV19" s="51"/>
      <c r="BW19" s="51"/>
      <c r="BX19" s="51"/>
      <c r="BY19" s="51"/>
      <c r="BZ19" s="51"/>
      <c r="CA19" s="51"/>
      <c r="CB19" s="51"/>
      <c r="CC19" s="51"/>
      <c r="CD19" s="51"/>
      <c r="CE19" s="51"/>
      <c r="CF19" s="51"/>
      <c r="CG19" s="51"/>
    </row>
    <row r="20" spans="1:85" s="46" customFormat="1" ht="30" customHeight="1" thickBot="1" x14ac:dyDescent="0.2">
      <c r="A20" s="13"/>
      <c r="B20" s="61" t="s">
        <v>38</v>
      </c>
      <c r="C20" s="62" t="s">
        <v>53</v>
      </c>
      <c r="D20" s="63"/>
      <c r="E20" s="64">
        <f ca="1">E19</f>
        <v>45896</v>
      </c>
      <c r="F20" s="64">
        <f ca="1">E20+2</f>
        <v>45898</v>
      </c>
      <c r="G20" s="17"/>
      <c r="H20" s="5">
        <f t="shared" ca="1" si="22"/>
        <v>3</v>
      </c>
      <c r="I20" s="51"/>
      <c r="J20" s="51"/>
      <c r="K20" s="51"/>
      <c r="L20" s="51"/>
      <c r="M20" s="51"/>
      <c r="N20" s="51"/>
      <c r="O20" s="51"/>
      <c r="P20" s="51"/>
      <c r="Q20" s="51"/>
      <c r="R20" s="51"/>
      <c r="S20" s="51"/>
      <c r="T20" s="51"/>
      <c r="U20" s="51"/>
      <c r="V20" s="51"/>
      <c r="W20" s="51"/>
      <c r="X20" s="51"/>
      <c r="Y20" s="55"/>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c r="BM20" s="51"/>
      <c r="BN20" s="51"/>
      <c r="BO20" s="51"/>
      <c r="BP20" s="51"/>
      <c r="BQ20" s="51"/>
      <c r="BR20" s="51"/>
      <c r="BS20" s="51"/>
      <c r="BT20" s="51"/>
      <c r="BU20" s="51"/>
      <c r="BV20" s="51"/>
      <c r="BW20" s="51"/>
      <c r="BX20" s="51"/>
      <c r="BY20" s="51"/>
      <c r="BZ20" s="51"/>
      <c r="CA20" s="51"/>
      <c r="CB20" s="51"/>
      <c r="CC20" s="51"/>
      <c r="CD20" s="51"/>
      <c r="CE20" s="51"/>
      <c r="CF20" s="51"/>
      <c r="CG20" s="51"/>
    </row>
    <row r="21" spans="1:85" s="46" customFormat="1" ht="30" customHeight="1" thickBot="1" x14ac:dyDescent="0.2">
      <c r="A21" s="13"/>
      <c r="B21" s="61" t="s">
        <v>42</v>
      </c>
      <c r="C21" s="62" t="s">
        <v>53</v>
      </c>
      <c r="D21" s="63"/>
      <c r="E21" s="64">
        <f ca="1">E20</f>
        <v>45896</v>
      </c>
      <c r="F21" s="64">
        <f ca="1">E21+3</f>
        <v>45899</v>
      </c>
      <c r="G21" s="17"/>
      <c r="H21" s="5">
        <f t="shared" ca="1" si="22"/>
        <v>4</v>
      </c>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c r="BM21" s="51"/>
      <c r="BN21" s="51"/>
      <c r="BO21" s="51"/>
      <c r="BP21" s="51"/>
      <c r="BQ21" s="51"/>
      <c r="BR21" s="51"/>
      <c r="BS21" s="51"/>
      <c r="BT21" s="51"/>
      <c r="BU21" s="51"/>
      <c r="BV21" s="51"/>
      <c r="BW21" s="51"/>
      <c r="BX21" s="51"/>
      <c r="BY21" s="51"/>
      <c r="BZ21" s="51"/>
      <c r="CA21" s="51"/>
      <c r="CB21" s="51"/>
      <c r="CC21" s="51"/>
      <c r="CD21" s="51"/>
      <c r="CE21" s="51"/>
      <c r="CF21" s="51"/>
      <c r="CG21" s="51"/>
    </row>
    <row r="22" spans="1:85" s="46" customFormat="1" ht="30" customHeight="1" thickBot="1" x14ac:dyDescent="0.2">
      <c r="A22" s="13"/>
      <c r="B22" s="75" t="s">
        <v>51</v>
      </c>
      <c r="C22" s="76"/>
      <c r="D22" s="77"/>
      <c r="E22" s="78"/>
      <c r="F22" s="79"/>
      <c r="G22" s="17"/>
      <c r="H22" s="5" t="str">
        <f t="shared" si="22"/>
        <v/>
      </c>
      <c r="I22" s="80"/>
      <c r="J22" s="80"/>
      <c r="K22" s="80"/>
      <c r="L22" s="80"/>
      <c r="M22" s="80"/>
      <c r="N22" s="80"/>
      <c r="O22" s="80"/>
      <c r="P22" s="80"/>
      <c r="Q22" s="80"/>
      <c r="R22" s="80"/>
      <c r="S22" s="80"/>
      <c r="T22" s="80"/>
      <c r="U22" s="80"/>
      <c r="V22" s="80"/>
      <c r="W22" s="80"/>
      <c r="X22" s="80"/>
      <c r="Y22" s="80"/>
      <c r="Z22" s="80"/>
      <c r="AA22" s="80"/>
      <c r="AB22" s="80"/>
      <c r="AC22" s="80"/>
      <c r="AD22" s="80"/>
      <c r="AE22" s="80"/>
      <c r="AF22" s="80"/>
      <c r="AG22" s="80"/>
      <c r="AH22" s="80"/>
      <c r="AI22" s="80"/>
      <c r="AJ22" s="80"/>
      <c r="AK22" s="80"/>
      <c r="AL22" s="80"/>
      <c r="AM22" s="80"/>
      <c r="AN22" s="80"/>
      <c r="AO22" s="80"/>
      <c r="AP22" s="80"/>
      <c r="AQ22" s="80"/>
      <c r="AR22" s="80"/>
      <c r="AS22" s="80"/>
      <c r="AT22" s="80"/>
      <c r="AU22" s="80"/>
      <c r="AV22" s="80"/>
      <c r="AW22" s="80"/>
      <c r="AX22" s="80"/>
      <c r="AY22" s="80"/>
      <c r="AZ22" s="80"/>
      <c r="BA22" s="80"/>
      <c r="BB22" s="80"/>
      <c r="BC22" s="80"/>
      <c r="BD22" s="80"/>
      <c r="BE22" s="80"/>
      <c r="BF22" s="80"/>
      <c r="BG22" s="80"/>
      <c r="BH22" s="80"/>
      <c r="BI22" s="80"/>
      <c r="BJ22" s="80"/>
      <c r="BK22" s="80"/>
      <c r="BL22" s="80"/>
      <c r="BM22" s="80"/>
      <c r="BN22" s="80"/>
      <c r="BO22" s="80"/>
      <c r="BP22" s="80"/>
      <c r="BQ22" s="80"/>
      <c r="BR22" s="80"/>
      <c r="BS22" s="80"/>
      <c r="BT22" s="80"/>
      <c r="BU22" s="80"/>
      <c r="BV22" s="80"/>
      <c r="BW22" s="80"/>
      <c r="BX22" s="80"/>
      <c r="BY22" s="80"/>
      <c r="BZ22" s="80"/>
      <c r="CA22" s="80"/>
      <c r="CB22" s="80"/>
      <c r="CC22" s="80"/>
      <c r="CD22" s="80"/>
      <c r="CE22" s="80"/>
      <c r="CF22" s="80"/>
      <c r="CG22" s="80"/>
    </row>
    <row r="23" spans="1:85" s="46" customFormat="1" ht="30" customHeight="1" thickBot="1" x14ac:dyDescent="0.2">
      <c r="A23" s="13"/>
      <c r="B23" s="81" t="s">
        <v>52</v>
      </c>
      <c r="C23" s="82" t="s">
        <v>53</v>
      </c>
      <c r="D23" s="83">
        <v>0.25</v>
      </c>
      <c r="E23" s="84">
        <f ca="1">E21+2</f>
        <v>45898</v>
      </c>
      <c r="F23" s="84">
        <f ca="1">E23+3</f>
        <v>45901</v>
      </c>
      <c r="G23" s="17"/>
      <c r="H23" s="5">
        <f t="shared" ca="1" si="22"/>
        <v>4</v>
      </c>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c r="BM23" s="51"/>
      <c r="BN23" s="51"/>
      <c r="BO23" s="51"/>
      <c r="BP23" s="51"/>
      <c r="BQ23" s="51"/>
      <c r="BR23" s="51"/>
      <c r="BS23" s="51"/>
      <c r="BT23" s="51"/>
      <c r="BU23" s="51"/>
      <c r="BV23" s="51"/>
      <c r="BW23" s="51"/>
      <c r="BX23" s="51"/>
      <c r="BY23" s="51"/>
      <c r="BZ23" s="51"/>
      <c r="CA23" s="51"/>
      <c r="CB23" s="51"/>
      <c r="CC23" s="51"/>
      <c r="CD23" s="51"/>
      <c r="CE23" s="51"/>
      <c r="CF23" s="51"/>
      <c r="CG23" s="51"/>
    </row>
    <row r="24" spans="1:85" s="46" customFormat="1" ht="30" customHeight="1" thickBot="1" x14ac:dyDescent="0.2">
      <c r="A24" s="13"/>
      <c r="B24" s="81" t="s">
        <v>54</v>
      </c>
      <c r="C24" s="82" t="s">
        <v>53</v>
      </c>
      <c r="D24" s="83">
        <v>0.25</v>
      </c>
      <c r="E24" s="84">
        <f ca="1">F23</f>
        <v>45901</v>
      </c>
      <c r="F24" s="84">
        <f ca="1">E24+4</f>
        <v>45905</v>
      </c>
      <c r="G24" s="17"/>
      <c r="H24" s="5">
        <f t="shared" ca="1" si="22"/>
        <v>5</v>
      </c>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c r="BM24" s="51"/>
      <c r="BN24" s="51"/>
      <c r="BO24" s="51"/>
      <c r="BP24" s="51"/>
      <c r="BQ24" s="51"/>
      <c r="BR24" s="51"/>
      <c r="BS24" s="51"/>
      <c r="BT24" s="51"/>
      <c r="BU24" s="51"/>
      <c r="BV24" s="51"/>
      <c r="BW24" s="51"/>
      <c r="BX24" s="51"/>
      <c r="BY24" s="51"/>
      <c r="BZ24" s="51"/>
      <c r="CA24" s="51"/>
      <c r="CB24" s="51"/>
      <c r="CC24" s="51"/>
      <c r="CD24" s="51"/>
      <c r="CE24" s="51"/>
      <c r="CF24" s="51"/>
      <c r="CG24" s="51"/>
    </row>
    <row r="25" spans="1:85" s="46" customFormat="1" ht="30" customHeight="1" thickBot="1" x14ac:dyDescent="0.2">
      <c r="A25" s="14"/>
      <c r="B25" s="40" t="s">
        <v>27</v>
      </c>
      <c r="C25" s="41"/>
      <c r="D25" s="42"/>
      <c r="E25" s="43"/>
      <c r="F25" s="44"/>
      <c r="G25" s="17"/>
      <c r="H25" s="5" t="str">
        <f t="shared" si="22"/>
        <v/>
      </c>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c r="AZ25" s="45"/>
      <c r="BA25" s="45"/>
      <c r="BB25" s="45"/>
      <c r="BC25" s="45"/>
      <c r="BD25" s="45"/>
      <c r="BE25" s="45"/>
      <c r="BF25" s="45"/>
      <c r="BG25" s="45"/>
      <c r="BH25" s="45"/>
      <c r="BI25" s="45"/>
      <c r="BJ25" s="45"/>
      <c r="BK25" s="45"/>
      <c r="BL25" s="45"/>
      <c r="BM25" s="45"/>
      <c r="BN25" s="45"/>
      <c r="BO25" s="45"/>
      <c r="BP25" s="45"/>
      <c r="BQ25" s="45"/>
      <c r="BR25" s="45"/>
      <c r="BS25" s="45"/>
      <c r="BT25" s="45"/>
      <c r="BU25" s="45"/>
      <c r="BV25" s="45"/>
      <c r="BW25" s="45"/>
      <c r="BX25" s="45"/>
      <c r="BY25" s="45"/>
      <c r="BZ25" s="45"/>
      <c r="CA25" s="45"/>
      <c r="CB25" s="45"/>
      <c r="CC25" s="45"/>
      <c r="CD25" s="45"/>
      <c r="CE25" s="45"/>
      <c r="CF25" s="45"/>
      <c r="CG25" s="45"/>
    </row>
    <row r="26" spans="1:85" s="46" customFormat="1" ht="30" customHeight="1" thickBot="1" x14ac:dyDescent="0.2">
      <c r="A26" s="14"/>
      <c r="B26" s="47" t="s">
        <v>28</v>
      </c>
      <c r="C26" s="48" t="s">
        <v>35</v>
      </c>
      <c r="D26" s="49">
        <v>0.5</v>
      </c>
      <c r="E26" s="50">
        <f ca="1">Project_Start</f>
        <v>45884</v>
      </c>
      <c r="F26" s="50">
        <f ca="1">E26+3</f>
        <v>45887</v>
      </c>
      <c r="G26" s="17"/>
      <c r="H26" s="5">
        <f t="shared" ca="1" si="22"/>
        <v>4</v>
      </c>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51"/>
      <c r="AZ26" s="51"/>
      <c r="BA26" s="51"/>
      <c r="BB26" s="51"/>
      <c r="BC26" s="51"/>
      <c r="BD26" s="51"/>
      <c r="BE26" s="51"/>
      <c r="BF26" s="51"/>
      <c r="BG26" s="51"/>
      <c r="BH26" s="51"/>
      <c r="BI26" s="51"/>
      <c r="BJ26" s="51"/>
      <c r="BK26" s="51"/>
      <c r="BL26" s="51"/>
      <c r="BM26" s="51"/>
      <c r="BN26" s="51"/>
      <c r="BO26" s="51"/>
      <c r="BP26" s="51"/>
      <c r="BQ26" s="51"/>
      <c r="BR26" s="51"/>
      <c r="BS26" s="51"/>
      <c r="BT26" s="51"/>
      <c r="BU26" s="51"/>
      <c r="BV26" s="51"/>
      <c r="BW26" s="51"/>
      <c r="BX26" s="51"/>
      <c r="BY26" s="51"/>
      <c r="BZ26" s="51"/>
      <c r="CA26" s="51"/>
      <c r="CB26" s="51"/>
      <c r="CC26" s="51"/>
      <c r="CD26" s="51"/>
      <c r="CE26" s="51"/>
      <c r="CF26" s="51"/>
      <c r="CG26" s="51"/>
    </row>
    <row r="27" spans="1:85" s="46" customFormat="1" ht="30" customHeight="1" thickBot="1" x14ac:dyDescent="0.2">
      <c r="A27" s="14"/>
      <c r="B27" s="52" t="s">
        <v>29</v>
      </c>
      <c r="C27" s="48" t="s">
        <v>35</v>
      </c>
      <c r="D27" s="53">
        <v>0.6</v>
      </c>
      <c r="E27" s="54">
        <f ca="1">F26</f>
        <v>45887</v>
      </c>
      <c r="F27" s="54">
        <f ca="1">E27+2</f>
        <v>45889</v>
      </c>
      <c r="G27" s="17"/>
      <c r="H27" s="5">
        <f t="shared" ca="1" si="22"/>
        <v>3</v>
      </c>
      <c r="I27" s="51"/>
      <c r="J27" s="51"/>
      <c r="K27" s="51"/>
      <c r="L27" s="51"/>
      <c r="M27" s="51"/>
      <c r="N27" s="51"/>
      <c r="O27" s="51"/>
      <c r="P27" s="51"/>
      <c r="Q27" s="51"/>
      <c r="R27" s="51"/>
      <c r="S27" s="51"/>
      <c r="T27" s="51"/>
      <c r="U27" s="55"/>
      <c r="V27" s="55"/>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c r="BM27" s="51"/>
      <c r="BN27" s="51"/>
      <c r="BO27" s="51"/>
      <c r="BP27" s="51"/>
      <c r="BQ27" s="51"/>
      <c r="BR27" s="51"/>
      <c r="BS27" s="51"/>
      <c r="BT27" s="51"/>
      <c r="BU27" s="51"/>
      <c r="BV27" s="51"/>
      <c r="BW27" s="51"/>
      <c r="BX27" s="51"/>
      <c r="BY27" s="51"/>
      <c r="BZ27" s="51"/>
      <c r="CA27" s="51"/>
      <c r="CB27" s="51"/>
      <c r="CC27" s="51"/>
      <c r="CD27" s="51"/>
      <c r="CE27" s="51"/>
      <c r="CF27" s="51"/>
      <c r="CG27" s="51"/>
    </row>
    <row r="28" spans="1:85" s="46" customFormat="1" ht="30" customHeight="1" thickBot="1" x14ac:dyDescent="0.2">
      <c r="A28" s="13"/>
      <c r="B28" s="52" t="s">
        <v>30</v>
      </c>
      <c r="C28" s="48" t="s">
        <v>35</v>
      </c>
      <c r="D28" s="53">
        <v>0.5</v>
      </c>
      <c r="E28" s="54">
        <f ca="1">F27</f>
        <v>45889</v>
      </c>
      <c r="F28" s="54">
        <f ca="1">E28+4</f>
        <v>45893</v>
      </c>
      <c r="G28" s="17"/>
      <c r="H28" s="5">
        <f t="shared" ca="1" si="22"/>
        <v>5</v>
      </c>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c r="BM28" s="51"/>
      <c r="BN28" s="51"/>
      <c r="BO28" s="51"/>
      <c r="BP28" s="51"/>
      <c r="BQ28" s="51"/>
      <c r="BR28" s="51"/>
      <c r="BS28" s="51"/>
      <c r="BT28" s="51"/>
      <c r="BU28" s="51"/>
      <c r="BV28" s="51"/>
      <c r="BW28" s="51"/>
      <c r="BX28" s="51"/>
      <c r="BY28" s="51"/>
      <c r="BZ28" s="51"/>
      <c r="CA28" s="51"/>
      <c r="CB28" s="51"/>
      <c r="CC28" s="51"/>
      <c r="CD28" s="51"/>
      <c r="CE28" s="51"/>
      <c r="CF28" s="51"/>
      <c r="CG28" s="51"/>
    </row>
    <row r="29" spans="1:85" s="46" customFormat="1" ht="30" customHeight="1" thickBot="1" x14ac:dyDescent="0.2">
      <c r="A29" s="13"/>
      <c r="B29" s="52" t="s">
        <v>31</v>
      </c>
      <c r="C29" s="48" t="s">
        <v>35</v>
      </c>
      <c r="D29" s="53">
        <v>0.25</v>
      </c>
      <c r="E29" s="54">
        <f ca="1">F28</f>
        <v>45893</v>
      </c>
      <c r="F29" s="54">
        <v>45950</v>
      </c>
      <c r="G29" s="17"/>
      <c r="H29" s="5">
        <f t="shared" ca="1" si="22"/>
        <v>58</v>
      </c>
      <c r="I29" s="51"/>
      <c r="J29" s="51"/>
      <c r="K29" s="51"/>
      <c r="L29" s="51"/>
      <c r="M29" s="51"/>
      <c r="N29" s="51"/>
      <c r="O29" s="51"/>
      <c r="P29" s="51"/>
      <c r="Q29" s="51"/>
      <c r="R29" s="51"/>
      <c r="S29" s="51"/>
      <c r="T29" s="51"/>
      <c r="U29" s="51"/>
      <c r="V29" s="51"/>
      <c r="W29" s="51"/>
      <c r="X29" s="51"/>
      <c r="Y29" s="55"/>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c r="BM29" s="51"/>
      <c r="BN29" s="51"/>
      <c r="BO29" s="51"/>
      <c r="BP29" s="51"/>
      <c r="BQ29" s="51"/>
      <c r="BR29" s="51"/>
      <c r="BS29" s="51"/>
      <c r="BT29" s="51"/>
      <c r="BU29" s="51"/>
      <c r="BV29" s="51"/>
      <c r="BW29" s="51"/>
      <c r="BX29" s="51"/>
      <c r="BY29" s="51"/>
      <c r="BZ29" s="51"/>
      <c r="CA29" s="51"/>
      <c r="CB29" s="51"/>
      <c r="CC29" s="51"/>
      <c r="CD29" s="51"/>
      <c r="CE29" s="51"/>
      <c r="CF29" s="51"/>
      <c r="CG29" s="51"/>
    </row>
    <row r="30" spans="1:85" s="46" customFormat="1" ht="30" customHeight="1" thickBot="1" x14ac:dyDescent="0.2">
      <c r="A30" s="13"/>
      <c r="B30" s="52" t="s">
        <v>32</v>
      </c>
      <c r="C30" s="48" t="s">
        <v>35</v>
      </c>
      <c r="D30" s="53"/>
      <c r="E30" s="54"/>
      <c r="F30" s="54"/>
      <c r="G30" s="17"/>
      <c r="H30" s="5"/>
      <c r="I30" s="51"/>
      <c r="J30" s="51"/>
      <c r="K30" s="51"/>
      <c r="L30" s="51"/>
      <c r="M30" s="51"/>
      <c r="N30" s="51"/>
      <c r="O30" s="51"/>
      <c r="P30" s="51"/>
      <c r="Q30" s="51"/>
      <c r="R30" s="51"/>
      <c r="S30" s="51"/>
      <c r="T30" s="51"/>
      <c r="U30" s="51"/>
      <c r="V30" s="51"/>
      <c r="W30" s="51"/>
      <c r="X30" s="51"/>
      <c r="Y30" s="55"/>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c r="BM30" s="51"/>
      <c r="BN30" s="51"/>
      <c r="BO30" s="51"/>
      <c r="BP30" s="51"/>
      <c r="BQ30" s="51"/>
      <c r="BR30" s="51"/>
      <c r="BS30" s="51"/>
      <c r="BT30" s="51"/>
      <c r="BU30" s="51"/>
      <c r="BV30" s="51"/>
      <c r="BW30" s="51"/>
      <c r="BX30" s="51"/>
      <c r="BY30" s="51"/>
      <c r="BZ30" s="51"/>
      <c r="CA30" s="51"/>
      <c r="CB30" s="51"/>
      <c r="CC30" s="51"/>
      <c r="CD30" s="51"/>
      <c r="CE30" s="51"/>
      <c r="CF30" s="51"/>
      <c r="CG30" s="51"/>
    </row>
    <row r="31" spans="1:85" s="46" customFormat="1" ht="30" customHeight="1" thickBot="1" x14ac:dyDescent="0.2">
      <c r="A31" s="13"/>
      <c r="B31" s="52" t="s">
        <v>59</v>
      </c>
      <c r="C31" s="48" t="s">
        <v>35</v>
      </c>
      <c r="D31" s="53"/>
      <c r="E31" s="54"/>
      <c r="F31" s="54"/>
      <c r="G31" s="17"/>
      <c r="H31" s="5"/>
      <c r="I31" s="51"/>
      <c r="J31" s="51"/>
      <c r="K31" s="51"/>
      <c r="L31" s="51"/>
      <c r="M31" s="51"/>
      <c r="N31" s="51"/>
      <c r="O31" s="51"/>
      <c r="P31" s="51"/>
      <c r="Q31" s="51"/>
      <c r="R31" s="51"/>
      <c r="S31" s="51"/>
      <c r="T31" s="51"/>
      <c r="U31" s="51"/>
      <c r="V31" s="51"/>
      <c r="W31" s="51"/>
      <c r="X31" s="51"/>
      <c r="Y31" s="55"/>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c r="BM31" s="51"/>
      <c r="BN31" s="51"/>
      <c r="BO31" s="51"/>
      <c r="BP31" s="51"/>
      <c r="BQ31" s="51"/>
      <c r="BR31" s="51"/>
      <c r="BS31" s="51"/>
      <c r="BT31" s="51"/>
      <c r="BU31" s="51"/>
      <c r="BV31" s="51"/>
      <c r="BW31" s="51"/>
      <c r="BX31" s="51"/>
      <c r="BY31" s="51"/>
      <c r="BZ31" s="51"/>
      <c r="CA31" s="51"/>
      <c r="CB31" s="51"/>
      <c r="CC31" s="51"/>
      <c r="CD31" s="51"/>
      <c r="CE31" s="51"/>
      <c r="CF31" s="51"/>
      <c r="CG31" s="51"/>
    </row>
    <row r="32" spans="1:85" s="46" customFormat="1" ht="30" customHeight="1" thickBot="1" x14ac:dyDescent="0.2">
      <c r="A32" s="13"/>
      <c r="B32" s="52" t="s">
        <v>33</v>
      </c>
      <c r="C32" s="48" t="s">
        <v>35</v>
      </c>
      <c r="D32" s="53"/>
      <c r="E32" s="54"/>
      <c r="F32" s="54"/>
      <c r="G32" s="17"/>
      <c r="H32" s="5"/>
      <c r="I32" s="51"/>
      <c r="J32" s="51"/>
      <c r="K32" s="51"/>
      <c r="L32" s="51"/>
      <c r="M32" s="51"/>
      <c r="N32" s="51"/>
      <c r="O32" s="51"/>
      <c r="P32" s="51"/>
      <c r="Q32" s="51"/>
      <c r="R32" s="51"/>
      <c r="S32" s="51"/>
      <c r="T32" s="51"/>
      <c r="U32" s="51"/>
      <c r="V32" s="51"/>
      <c r="W32" s="51"/>
      <c r="X32" s="51"/>
      <c r="Y32" s="55"/>
      <c r="Z32" s="51"/>
      <c r="AA32" s="51"/>
      <c r="AB32" s="51"/>
      <c r="AC32" s="51"/>
      <c r="AD32" s="51"/>
      <c r="AE32" s="51"/>
      <c r="AF32" s="51"/>
      <c r="AG32" s="51"/>
      <c r="AH32" s="51"/>
      <c r="AI32" s="51"/>
      <c r="AJ32" s="51"/>
      <c r="AK32" s="51"/>
      <c r="AL32" s="51"/>
      <c r="AM32" s="51"/>
      <c r="AN32" s="51"/>
      <c r="AO32" s="51"/>
      <c r="AP32" s="51"/>
      <c r="AQ32" s="51"/>
      <c r="AR32" s="51"/>
      <c r="AS32" s="51"/>
      <c r="AT32" s="51"/>
      <c r="AU32" s="51"/>
      <c r="AV32" s="51"/>
      <c r="AW32" s="51"/>
      <c r="AX32" s="51"/>
      <c r="AY32" s="51"/>
      <c r="AZ32" s="51"/>
      <c r="BA32" s="51"/>
      <c r="BB32" s="51"/>
      <c r="BC32" s="51"/>
      <c r="BD32" s="51"/>
      <c r="BE32" s="51"/>
      <c r="BF32" s="51"/>
      <c r="BG32" s="51"/>
      <c r="BH32" s="51"/>
      <c r="BI32" s="51"/>
      <c r="BJ32" s="51"/>
      <c r="BK32" s="51"/>
      <c r="BL32" s="51"/>
      <c r="BM32" s="51"/>
      <c r="BN32" s="51"/>
      <c r="BO32" s="51"/>
      <c r="BP32" s="51"/>
      <c r="BQ32" s="51"/>
      <c r="BR32" s="51"/>
      <c r="BS32" s="51"/>
      <c r="BT32" s="51"/>
      <c r="BU32" s="51"/>
      <c r="BV32" s="51"/>
      <c r="BW32" s="51"/>
      <c r="BX32" s="51"/>
      <c r="BY32" s="51"/>
      <c r="BZ32" s="51"/>
      <c r="CA32" s="51"/>
      <c r="CB32" s="51"/>
      <c r="CC32" s="51"/>
      <c r="CD32" s="51"/>
      <c r="CE32" s="51"/>
      <c r="CF32" s="51"/>
      <c r="CG32" s="51"/>
    </row>
    <row r="33" spans="1:85" s="46" customFormat="1" ht="30" customHeight="1" thickBot="1" x14ac:dyDescent="0.2">
      <c r="A33" s="13"/>
      <c r="B33" s="52" t="s">
        <v>34</v>
      </c>
      <c r="C33" s="48" t="s">
        <v>35</v>
      </c>
      <c r="D33" s="53"/>
      <c r="E33" s="54"/>
      <c r="F33" s="54"/>
      <c r="G33" s="17"/>
      <c r="H33" s="5"/>
      <c r="I33" s="51"/>
      <c r="J33" s="51"/>
      <c r="K33" s="51"/>
      <c r="L33" s="51"/>
      <c r="M33" s="51"/>
      <c r="N33" s="51"/>
      <c r="O33" s="51"/>
      <c r="P33" s="51"/>
      <c r="Q33" s="51"/>
      <c r="R33" s="51"/>
      <c r="S33" s="51"/>
      <c r="T33" s="51"/>
      <c r="U33" s="51"/>
      <c r="V33" s="51"/>
      <c r="W33" s="51"/>
      <c r="X33" s="51"/>
      <c r="Y33" s="55"/>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51"/>
      <c r="AZ33" s="51"/>
      <c r="BA33" s="51"/>
      <c r="BB33" s="51"/>
      <c r="BC33" s="51"/>
      <c r="BD33" s="51"/>
      <c r="BE33" s="51"/>
      <c r="BF33" s="51"/>
      <c r="BG33" s="51"/>
      <c r="BH33" s="51"/>
      <c r="BI33" s="51"/>
      <c r="BJ33" s="51"/>
      <c r="BK33" s="51"/>
      <c r="BL33" s="51"/>
      <c r="BM33" s="51"/>
      <c r="BN33" s="51"/>
      <c r="BO33" s="51"/>
      <c r="BP33" s="51"/>
      <c r="BQ33" s="51"/>
      <c r="BR33" s="51"/>
      <c r="BS33" s="51"/>
      <c r="BT33" s="51"/>
      <c r="BU33" s="51"/>
      <c r="BV33" s="51"/>
      <c r="BW33" s="51"/>
      <c r="BX33" s="51"/>
      <c r="BY33" s="51"/>
      <c r="BZ33" s="51"/>
      <c r="CA33" s="51"/>
      <c r="CB33" s="51"/>
      <c r="CC33" s="51"/>
      <c r="CD33" s="51"/>
      <c r="CE33" s="51"/>
      <c r="CF33" s="51"/>
      <c r="CG33" s="51"/>
    </row>
    <row r="34" spans="1:85" s="46" customFormat="1" ht="30" customHeight="1" thickBot="1" x14ac:dyDescent="0.2">
      <c r="A34" s="13"/>
      <c r="B34" s="52" t="s">
        <v>60</v>
      </c>
      <c r="C34" s="48" t="s">
        <v>35</v>
      </c>
      <c r="D34" s="53"/>
      <c r="E34" s="54"/>
      <c r="F34" s="54"/>
      <c r="G34" s="17"/>
      <c r="H34" s="5"/>
      <c r="I34" s="51"/>
      <c r="J34" s="51"/>
      <c r="K34" s="51"/>
      <c r="L34" s="51"/>
      <c r="M34" s="51"/>
      <c r="N34" s="51"/>
      <c r="O34" s="51"/>
      <c r="P34" s="51"/>
      <c r="Q34" s="51"/>
      <c r="R34" s="51"/>
      <c r="S34" s="51"/>
      <c r="T34" s="51"/>
      <c r="U34" s="51"/>
      <c r="V34" s="51"/>
      <c r="W34" s="51"/>
      <c r="X34" s="51"/>
      <c r="Y34" s="55"/>
      <c r="Z34" s="51"/>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c r="AY34" s="51"/>
      <c r="AZ34" s="51"/>
      <c r="BA34" s="51"/>
      <c r="BB34" s="51"/>
      <c r="BC34" s="51"/>
      <c r="BD34" s="51"/>
      <c r="BE34" s="51"/>
      <c r="BF34" s="51"/>
      <c r="BG34" s="51"/>
      <c r="BH34" s="51"/>
      <c r="BI34" s="51"/>
      <c r="BJ34" s="51"/>
      <c r="BK34" s="51"/>
      <c r="BL34" s="51"/>
      <c r="BM34" s="51"/>
      <c r="BN34" s="51"/>
      <c r="BO34" s="51"/>
      <c r="BP34" s="51"/>
      <c r="BQ34" s="51"/>
      <c r="BR34" s="51"/>
      <c r="BS34" s="51"/>
      <c r="BT34" s="51"/>
      <c r="BU34" s="51"/>
      <c r="BV34" s="51"/>
      <c r="BW34" s="51"/>
      <c r="BX34" s="51"/>
      <c r="BY34" s="51"/>
      <c r="BZ34" s="51"/>
      <c r="CA34" s="51"/>
      <c r="CB34" s="51"/>
      <c r="CC34" s="51"/>
      <c r="CD34" s="51"/>
      <c r="CE34" s="51"/>
      <c r="CF34" s="51"/>
      <c r="CG34" s="51"/>
    </row>
    <row r="35" spans="1:85" s="46" customFormat="1" ht="30" customHeight="1" thickBot="1" x14ac:dyDescent="0.2">
      <c r="A35" s="13"/>
      <c r="B35" s="52" t="s">
        <v>36</v>
      </c>
      <c r="C35" s="48" t="s">
        <v>35</v>
      </c>
      <c r="D35" s="53"/>
      <c r="E35" s="54">
        <f ca="1">E27+1</f>
        <v>45888</v>
      </c>
      <c r="F35" s="54">
        <f ca="1">E35+2</f>
        <v>45890</v>
      </c>
      <c r="G35" s="17"/>
      <c r="H35" s="5">
        <f t="shared" ca="1" si="22"/>
        <v>3</v>
      </c>
      <c r="I35" s="51"/>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c r="AV35" s="51"/>
      <c r="AW35" s="51"/>
      <c r="AX35" s="51"/>
      <c r="AY35" s="51"/>
      <c r="AZ35" s="51"/>
      <c r="BA35" s="51"/>
      <c r="BB35" s="51"/>
      <c r="BC35" s="51"/>
      <c r="BD35" s="51"/>
      <c r="BE35" s="51"/>
      <c r="BF35" s="51"/>
      <c r="BG35" s="51"/>
      <c r="BH35" s="51"/>
      <c r="BI35" s="51"/>
      <c r="BJ35" s="51"/>
      <c r="BK35" s="51"/>
      <c r="BL35" s="51"/>
      <c r="BM35" s="51"/>
      <c r="BN35" s="51"/>
      <c r="BO35" s="51"/>
      <c r="BP35" s="51"/>
      <c r="BQ35" s="51"/>
      <c r="BR35" s="51"/>
      <c r="BS35" s="51"/>
      <c r="BT35" s="51"/>
      <c r="BU35" s="51"/>
      <c r="BV35" s="51"/>
      <c r="BW35" s="51"/>
      <c r="BX35" s="51"/>
      <c r="BY35" s="51"/>
      <c r="BZ35" s="51"/>
      <c r="CA35" s="51"/>
      <c r="CB35" s="51"/>
      <c r="CC35" s="51"/>
      <c r="CD35" s="51"/>
      <c r="CE35" s="51"/>
      <c r="CF35" s="51"/>
      <c r="CG35" s="51"/>
    </row>
    <row r="36" spans="1:85" s="46" customFormat="1" ht="30" customHeight="1" thickBot="1" x14ac:dyDescent="0.2">
      <c r="A36" s="13"/>
      <c r="B36" s="75" t="s">
        <v>46</v>
      </c>
      <c r="C36" s="76"/>
      <c r="D36" s="77"/>
      <c r="E36" s="78"/>
      <c r="F36" s="79"/>
      <c r="G36" s="17"/>
      <c r="H36" s="5" t="str">
        <f t="shared" si="22"/>
        <v/>
      </c>
      <c r="I36" s="80"/>
      <c r="J36" s="80"/>
      <c r="K36" s="80"/>
      <c r="L36" s="80"/>
      <c r="M36" s="80"/>
      <c r="N36" s="80"/>
      <c r="O36" s="80"/>
      <c r="P36" s="80"/>
      <c r="Q36" s="80"/>
      <c r="R36" s="80"/>
      <c r="S36" s="80"/>
      <c r="T36" s="80"/>
      <c r="U36" s="80"/>
      <c r="V36" s="80"/>
      <c r="W36" s="80"/>
      <c r="X36" s="80"/>
      <c r="Y36" s="80"/>
      <c r="Z36" s="80"/>
      <c r="AA36" s="80"/>
      <c r="AB36" s="80"/>
      <c r="AC36" s="80"/>
      <c r="AD36" s="80"/>
      <c r="AE36" s="80"/>
      <c r="AF36" s="80"/>
      <c r="AG36" s="80"/>
      <c r="AH36" s="80"/>
      <c r="AI36" s="80"/>
      <c r="AJ36" s="80"/>
      <c r="AK36" s="80"/>
      <c r="AL36" s="80"/>
      <c r="AM36" s="80"/>
      <c r="AN36" s="80"/>
      <c r="AO36" s="80"/>
      <c r="AP36" s="80"/>
      <c r="AQ36" s="80"/>
      <c r="AR36" s="80"/>
      <c r="AS36" s="80"/>
      <c r="AT36" s="80"/>
      <c r="AU36" s="80"/>
      <c r="AV36" s="80"/>
      <c r="AW36" s="80"/>
      <c r="AX36" s="80"/>
      <c r="AY36" s="80"/>
      <c r="AZ36" s="80"/>
      <c r="BA36" s="80"/>
      <c r="BB36" s="80"/>
      <c r="BC36" s="80"/>
      <c r="BD36" s="80"/>
      <c r="BE36" s="80"/>
      <c r="BF36" s="80"/>
      <c r="BG36" s="80"/>
      <c r="BH36" s="80"/>
      <c r="BI36" s="80"/>
      <c r="BJ36" s="80"/>
      <c r="BK36" s="80"/>
      <c r="BL36" s="80"/>
      <c r="BM36" s="80"/>
      <c r="BN36" s="80"/>
      <c r="BO36" s="80"/>
      <c r="BP36" s="80"/>
      <c r="BQ36" s="80"/>
      <c r="BR36" s="80"/>
      <c r="BS36" s="80"/>
      <c r="BT36" s="80"/>
      <c r="BU36" s="80"/>
      <c r="BV36" s="80"/>
      <c r="BW36" s="80"/>
      <c r="BX36" s="80"/>
      <c r="BY36" s="80"/>
      <c r="BZ36" s="80"/>
      <c r="CA36" s="80"/>
      <c r="CB36" s="80"/>
      <c r="CC36" s="80"/>
      <c r="CD36" s="80"/>
      <c r="CE36" s="80"/>
      <c r="CF36" s="80"/>
      <c r="CG36" s="80"/>
    </row>
    <row r="37" spans="1:85" s="46" customFormat="1" ht="30" customHeight="1" thickBot="1" x14ac:dyDescent="0.2">
      <c r="A37" s="13"/>
      <c r="B37" s="81" t="s">
        <v>47</v>
      </c>
      <c r="C37" s="82" t="s">
        <v>50</v>
      </c>
      <c r="D37" s="83">
        <v>0.25</v>
      </c>
      <c r="E37" s="84">
        <f ca="1">E11+2</f>
        <v>45901</v>
      </c>
      <c r="F37" s="84">
        <f ca="1">E37+3</f>
        <v>45904</v>
      </c>
      <c r="G37" s="17"/>
      <c r="H37" s="5">
        <f t="shared" ca="1" si="22"/>
        <v>4</v>
      </c>
      <c r="I37" s="51"/>
      <c r="J37" s="51"/>
      <c r="K37" s="51"/>
      <c r="L37" s="51"/>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1"/>
      <c r="CG37" s="51"/>
    </row>
    <row r="38" spans="1:85" s="46" customFormat="1" ht="30" customHeight="1" thickBot="1" x14ac:dyDescent="0.2">
      <c r="A38" s="13"/>
      <c r="B38" s="81" t="s">
        <v>55</v>
      </c>
      <c r="C38" s="82" t="s">
        <v>50</v>
      </c>
      <c r="D38" s="83"/>
      <c r="E38" s="84"/>
      <c r="F38" s="84"/>
      <c r="G38" s="17"/>
      <c r="H38" s="5"/>
      <c r="I38" s="51"/>
      <c r="J38" s="51"/>
      <c r="K38" s="51"/>
      <c r="L38" s="51"/>
      <c r="M38" s="51"/>
      <c r="N38" s="51"/>
      <c r="O38" s="51"/>
      <c r="P38" s="51"/>
      <c r="Q38" s="51"/>
      <c r="R38" s="51"/>
      <c r="S38" s="51"/>
      <c r="T38" s="51"/>
      <c r="U38" s="51"/>
      <c r="V38" s="51"/>
      <c r="W38" s="51"/>
      <c r="X38" s="51"/>
      <c r="Y38" s="51"/>
      <c r="Z38" s="51"/>
      <c r="AA38" s="51"/>
      <c r="AB38" s="51"/>
      <c r="AC38" s="51"/>
      <c r="AD38" s="51"/>
      <c r="AE38" s="51"/>
      <c r="AF38" s="51"/>
      <c r="AG38" s="51"/>
      <c r="AH38" s="51"/>
      <c r="AI38" s="51"/>
      <c r="AJ38" s="51"/>
      <c r="AK38" s="51"/>
      <c r="AL38" s="51"/>
      <c r="AM38" s="51"/>
      <c r="AN38" s="51"/>
      <c r="AO38" s="51"/>
      <c r="AP38" s="51"/>
      <c r="AQ38" s="51"/>
      <c r="AR38" s="51"/>
      <c r="AS38" s="51"/>
      <c r="AT38" s="51"/>
      <c r="AU38" s="51"/>
      <c r="AV38" s="51"/>
      <c r="AW38" s="51"/>
      <c r="AX38" s="51"/>
      <c r="AY38" s="51"/>
      <c r="AZ38" s="51"/>
      <c r="BA38" s="51"/>
      <c r="BB38" s="51"/>
      <c r="BC38" s="51"/>
      <c r="BD38" s="51"/>
      <c r="BE38" s="51"/>
      <c r="BF38" s="51"/>
      <c r="BG38" s="51"/>
      <c r="BH38" s="51"/>
      <c r="BI38" s="51"/>
      <c r="BJ38" s="51"/>
      <c r="BK38" s="51"/>
      <c r="BL38" s="51"/>
      <c r="BM38" s="51"/>
      <c r="BN38" s="51"/>
      <c r="BO38" s="51"/>
      <c r="BP38" s="51"/>
      <c r="BQ38" s="51"/>
      <c r="BR38" s="51"/>
      <c r="BS38" s="51"/>
      <c r="BT38" s="51"/>
      <c r="BU38" s="51"/>
      <c r="BV38" s="51"/>
      <c r="BW38" s="51"/>
      <c r="BX38" s="51"/>
      <c r="BY38" s="51"/>
      <c r="BZ38" s="51"/>
      <c r="CA38" s="51"/>
      <c r="CB38" s="51"/>
      <c r="CC38" s="51"/>
      <c r="CD38" s="51"/>
      <c r="CE38" s="51"/>
      <c r="CF38" s="51"/>
      <c r="CG38" s="51"/>
    </row>
    <row r="39" spans="1:85" s="46" customFormat="1" ht="30" customHeight="1" thickBot="1" x14ac:dyDescent="0.2">
      <c r="A39" s="13"/>
      <c r="B39" s="81" t="s">
        <v>56</v>
      </c>
      <c r="C39" s="82" t="s">
        <v>50</v>
      </c>
      <c r="D39" s="83">
        <v>0.25</v>
      </c>
      <c r="E39" s="84">
        <f ca="1">F37</f>
        <v>45904</v>
      </c>
      <c r="F39" s="84">
        <f ca="1">E39+4</f>
        <v>45908</v>
      </c>
      <c r="G39" s="17"/>
      <c r="H39" s="5">
        <f t="shared" ca="1" si="22"/>
        <v>5</v>
      </c>
      <c r="I39" s="51"/>
      <c r="J39" s="51"/>
      <c r="K39" s="51"/>
      <c r="L39" s="51"/>
      <c r="M39" s="51"/>
      <c r="N39" s="51"/>
      <c r="O39" s="51"/>
      <c r="P39" s="51"/>
      <c r="Q39" s="51"/>
      <c r="R39" s="51"/>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c r="AV39" s="51"/>
      <c r="AW39" s="51"/>
      <c r="AX39" s="51"/>
      <c r="AY39" s="51"/>
      <c r="AZ39" s="51"/>
      <c r="BA39" s="51"/>
      <c r="BB39" s="51"/>
      <c r="BC39" s="51"/>
      <c r="BD39" s="51"/>
      <c r="BE39" s="51"/>
      <c r="BF39" s="51"/>
      <c r="BG39" s="51"/>
      <c r="BH39" s="51"/>
      <c r="BI39" s="51"/>
      <c r="BJ39" s="51"/>
      <c r="BK39" s="51"/>
      <c r="BL39" s="51"/>
      <c r="BM39" s="51"/>
      <c r="BN39" s="51"/>
      <c r="BO39" s="51"/>
      <c r="BP39" s="51"/>
      <c r="BQ39" s="51"/>
      <c r="BR39" s="51"/>
      <c r="BS39" s="51"/>
      <c r="BT39" s="51"/>
      <c r="BU39" s="51"/>
      <c r="BV39" s="51"/>
      <c r="BW39" s="51"/>
      <c r="BX39" s="51"/>
      <c r="BY39" s="51"/>
      <c r="BZ39" s="51"/>
      <c r="CA39" s="51"/>
      <c r="CB39" s="51"/>
      <c r="CC39" s="51"/>
      <c r="CD39" s="51"/>
      <c r="CE39" s="51"/>
      <c r="CF39" s="51"/>
      <c r="CG39" s="51"/>
    </row>
    <row r="40" spans="1:85" s="46" customFormat="1" ht="30" customHeight="1" thickBot="1" x14ac:dyDescent="0.2">
      <c r="A40" s="13"/>
      <c r="B40" s="81" t="s">
        <v>57</v>
      </c>
      <c r="C40" s="82" t="s">
        <v>50</v>
      </c>
      <c r="D40" s="83">
        <v>0.5</v>
      </c>
      <c r="E40" s="84">
        <f ca="1">F39+1</f>
        <v>45909</v>
      </c>
      <c r="F40" s="84">
        <f ca="1">E40+3</f>
        <v>45912</v>
      </c>
      <c r="G40" s="17"/>
      <c r="H40" s="5">
        <f t="shared" ca="1" si="22"/>
        <v>4</v>
      </c>
      <c r="I40" s="51"/>
      <c r="J40" s="51"/>
      <c r="K40" s="51"/>
      <c r="L40" s="51"/>
      <c r="M40" s="51"/>
      <c r="N40" s="51"/>
      <c r="O40" s="51"/>
      <c r="P40" s="51"/>
      <c r="Q40" s="51"/>
      <c r="R40" s="51"/>
      <c r="S40" s="51"/>
      <c r="T40" s="51"/>
      <c r="U40" s="51"/>
      <c r="V40" s="51"/>
      <c r="W40" s="51"/>
      <c r="X40" s="51"/>
      <c r="Y40" s="51"/>
      <c r="Z40" s="51"/>
      <c r="AA40" s="51"/>
      <c r="AB40" s="51"/>
      <c r="AC40" s="51"/>
      <c r="AD40" s="51"/>
      <c r="AE40" s="51"/>
      <c r="AF40" s="51"/>
      <c r="AG40" s="51"/>
      <c r="AH40" s="51"/>
      <c r="AI40" s="51"/>
      <c r="AJ40" s="51"/>
      <c r="AK40" s="51"/>
      <c r="AL40" s="51"/>
      <c r="AM40" s="51"/>
      <c r="AN40" s="51"/>
      <c r="AO40" s="51"/>
      <c r="AP40" s="51"/>
      <c r="AQ40" s="51"/>
      <c r="AR40" s="51"/>
      <c r="AS40" s="51"/>
      <c r="AT40" s="51"/>
      <c r="AU40" s="51"/>
      <c r="AV40" s="51"/>
      <c r="AW40" s="51"/>
      <c r="AX40" s="51"/>
      <c r="AY40" s="51"/>
      <c r="AZ40" s="51"/>
      <c r="BA40" s="51"/>
      <c r="BB40" s="51"/>
      <c r="BC40" s="51"/>
      <c r="BD40" s="51"/>
      <c r="BE40" s="51"/>
      <c r="BF40" s="51"/>
      <c r="BG40" s="51"/>
      <c r="BH40" s="51"/>
      <c r="BI40" s="51"/>
      <c r="BJ40" s="51"/>
      <c r="BK40" s="51"/>
      <c r="BL40" s="51"/>
      <c r="BM40" s="51"/>
      <c r="BN40" s="51"/>
      <c r="BO40" s="51"/>
      <c r="BP40" s="51"/>
      <c r="BQ40" s="51"/>
      <c r="BR40" s="51"/>
      <c r="BS40" s="51"/>
      <c r="BT40" s="51"/>
      <c r="BU40" s="51"/>
      <c r="BV40" s="51"/>
      <c r="BW40" s="51"/>
      <c r="BX40" s="51"/>
      <c r="BY40" s="51"/>
      <c r="BZ40" s="51"/>
      <c r="CA40" s="51"/>
      <c r="CB40" s="51"/>
      <c r="CC40" s="51"/>
      <c r="CD40" s="51"/>
      <c r="CE40" s="51"/>
      <c r="CF40" s="51"/>
      <c r="CG40" s="51"/>
    </row>
    <row r="41" spans="1:85" s="46" customFormat="1" ht="30" customHeight="1" thickBot="1" x14ac:dyDescent="0.2">
      <c r="A41" s="13"/>
      <c r="B41" s="85"/>
      <c r="C41" s="86"/>
      <c r="D41" s="87"/>
      <c r="E41" s="88"/>
      <c r="F41" s="88"/>
      <c r="G41" s="17"/>
      <c r="H41" s="5" t="str">
        <f t="shared" si="22"/>
        <v/>
      </c>
      <c r="I41" s="45"/>
      <c r="J41" s="45"/>
      <c r="K41" s="45"/>
      <c r="L41" s="45"/>
      <c r="M41" s="45"/>
      <c r="N41" s="45"/>
      <c r="O41" s="45"/>
      <c r="P41" s="45"/>
      <c r="Q41" s="45"/>
      <c r="R41" s="45"/>
      <c r="S41" s="45"/>
      <c r="T41" s="45"/>
      <c r="U41" s="45"/>
      <c r="V41" s="45"/>
      <c r="W41" s="45"/>
      <c r="X41" s="45"/>
      <c r="Y41" s="45"/>
      <c r="Z41" s="45"/>
      <c r="AA41" s="45"/>
      <c r="AB41" s="45"/>
      <c r="AC41" s="45"/>
      <c r="AD41" s="45"/>
      <c r="AE41" s="45"/>
      <c r="AF41" s="45"/>
      <c r="AG41" s="45"/>
      <c r="AH41" s="45"/>
      <c r="AI41" s="45"/>
      <c r="AJ41" s="45"/>
      <c r="AK41" s="45"/>
      <c r="AL41" s="45"/>
      <c r="AM41" s="45"/>
      <c r="AN41" s="45"/>
      <c r="AO41" s="45"/>
      <c r="AP41" s="45"/>
      <c r="AQ41" s="45"/>
      <c r="AR41" s="45"/>
      <c r="AS41" s="45"/>
      <c r="AT41" s="45"/>
      <c r="AU41" s="45"/>
      <c r="AV41" s="45"/>
      <c r="AW41" s="45"/>
      <c r="AX41" s="45"/>
      <c r="AY41" s="45"/>
      <c r="AZ41" s="45"/>
      <c r="BA41" s="45"/>
      <c r="BB41" s="45"/>
      <c r="BC41" s="45"/>
      <c r="BD41" s="45"/>
      <c r="BE41" s="45"/>
      <c r="BF41" s="45"/>
      <c r="BG41" s="45"/>
      <c r="BH41" s="45"/>
      <c r="BI41" s="45"/>
      <c r="BJ41" s="45"/>
      <c r="BK41" s="45"/>
      <c r="BL41" s="45"/>
      <c r="BM41" s="45"/>
      <c r="BN41" s="45"/>
      <c r="BO41" s="45"/>
      <c r="BP41" s="45"/>
      <c r="BQ41" s="45"/>
      <c r="BR41" s="45"/>
      <c r="BS41" s="45"/>
      <c r="BT41" s="45"/>
      <c r="BU41" s="45"/>
      <c r="BV41" s="45"/>
      <c r="BW41" s="45"/>
      <c r="BX41" s="45"/>
      <c r="BY41" s="45"/>
      <c r="BZ41" s="45"/>
      <c r="CA41" s="45"/>
      <c r="CB41" s="45"/>
      <c r="CC41" s="45"/>
      <c r="CD41" s="45"/>
      <c r="CE41" s="45"/>
      <c r="CF41" s="45"/>
      <c r="CG41" s="45"/>
    </row>
    <row r="42" spans="1:85" s="46" customFormat="1" ht="30" customHeight="1" thickBot="1" x14ac:dyDescent="0.2">
      <c r="A42" s="14"/>
      <c r="B42" s="89" t="s">
        <v>0</v>
      </c>
      <c r="C42" s="90"/>
      <c r="D42" s="91"/>
      <c r="E42" s="92"/>
      <c r="F42" s="93"/>
      <c r="G42" s="17"/>
      <c r="H42" s="6" t="str">
        <f t="shared" si="22"/>
        <v/>
      </c>
      <c r="I42" s="94"/>
      <c r="J42" s="94"/>
      <c r="K42" s="94"/>
      <c r="L42" s="94"/>
      <c r="M42" s="94"/>
      <c r="N42" s="94"/>
      <c r="O42" s="94"/>
      <c r="P42" s="94"/>
      <c r="Q42" s="94"/>
      <c r="R42" s="94"/>
      <c r="S42" s="94"/>
      <c r="T42" s="94"/>
      <c r="U42" s="94"/>
      <c r="V42" s="94"/>
      <c r="W42" s="94"/>
      <c r="X42" s="94"/>
      <c r="Y42" s="94"/>
      <c r="Z42" s="94"/>
      <c r="AA42" s="94"/>
      <c r="AB42" s="94"/>
      <c r="AC42" s="94"/>
      <c r="AD42" s="94"/>
      <c r="AE42" s="94"/>
      <c r="AF42" s="94"/>
      <c r="AG42" s="94"/>
      <c r="AH42" s="94"/>
      <c r="AI42" s="94"/>
      <c r="AJ42" s="94"/>
      <c r="AK42" s="94"/>
      <c r="AL42" s="94"/>
      <c r="AM42" s="94"/>
      <c r="AN42" s="94"/>
      <c r="AO42" s="94"/>
      <c r="AP42" s="94"/>
      <c r="AQ42" s="94"/>
      <c r="AR42" s="94"/>
      <c r="AS42" s="94"/>
      <c r="AT42" s="94"/>
      <c r="AU42" s="94"/>
      <c r="AV42" s="94"/>
      <c r="AW42" s="94"/>
      <c r="AX42" s="94"/>
      <c r="AY42" s="94"/>
      <c r="AZ42" s="94"/>
      <c r="BA42" s="94"/>
      <c r="BB42" s="94"/>
      <c r="BC42" s="94"/>
      <c r="BD42" s="94"/>
      <c r="BE42" s="94"/>
      <c r="BF42" s="94"/>
      <c r="BG42" s="94"/>
      <c r="BH42" s="94"/>
      <c r="BI42" s="94"/>
      <c r="BJ42" s="94"/>
      <c r="BK42" s="94"/>
      <c r="BL42" s="94"/>
      <c r="BM42" s="94"/>
      <c r="BN42" s="94"/>
      <c r="BO42" s="94"/>
      <c r="BP42" s="94"/>
      <c r="BQ42" s="94"/>
      <c r="BR42" s="94"/>
      <c r="BS42" s="94"/>
      <c r="BT42" s="94"/>
      <c r="BU42" s="94"/>
      <c r="BV42" s="94"/>
      <c r="BW42" s="94"/>
      <c r="BX42" s="94"/>
      <c r="BY42" s="94"/>
      <c r="BZ42" s="94"/>
      <c r="CA42" s="94"/>
      <c r="CB42" s="94"/>
      <c r="CC42" s="94"/>
      <c r="CD42" s="94"/>
      <c r="CE42" s="94"/>
      <c r="CF42" s="94"/>
      <c r="CG42" s="94"/>
    </row>
    <row r="43" spans="1:85" ht="30" customHeight="1" x14ac:dyDescent="0.15">
      <c r="G43" s="3"/>
    </row>
    <row r="44" spans="1:85" ht="30" customHeight="1" x14ac:dyDescent="0.15">
      <c r="C44" s="16"/>
      <c r="F44" s="15"/>
    </row>
    <row r="45" spans="1:85" ht="30" customHeight="1" x14ac:dyDescent="0.15">
      <c r="C45" s="4"/>
    </row>
  </sheetData>
  <mergeCells count="21">
    <mergeCell ref="BM4:BS4"/>
    <mergeCell ref="BT4:BZ4"/>
    <mergeCell ref="CA4:CG4"/>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42">
    <cfRule type="dataBar" priority="66">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CG40">
    <cfRule type="expression" dxfId="26" priority="44">
      <formula>AND(TODAY()&gt;=I$5, TODAY()&lt;J$5)</formula>
    </cfRule>
  </conditionalFormatting>
  <conditionalFormatting sqref="I26:CG35">
    <cfRule type="expression" dxfId="25" priority="49">
      <formula>AND(task_start&lt;=I$5,ROUNDDOWN((task_end-task_start+1)*task_progress,0)+task_start-1&gt;=I$5)</formula>
    </cfRule>
    <cfRule type="expression" dxfId="24" priority="50" stopIfTrue="1">
      <formula>AND(task_end&gt;=I$5,task_start&lt;J$5)</formula>
    </cfRule>
  </conditionalFormatting>
  <conditionalFormatting sqref="I17:BL21">
    <cfRule type="expression" dxfId="23" priority="47">
      <formula>AND(task_start&lt;=I$5,ROUNDDOWN((task_end-task_start+1)*task_progress,0)+task_start-1&gt;=I$5)</formula>
    </cfRule>
    <cfRule type="expression" dxfId="22" priority="48" stopIfTrue="1">
      <formula>AND(task_end&gt;=I$5,task_start&lt;J$5)</formula>
    </cfRule>
  </conditionalFormatting>
  <conditionalFormatting sqref="I11:BL15 I9:CG10">
    <cfRule type="expression" dxfId="21" priority="45">
      <formula>AND(task_start&lt;=I$5,ROUNDDOWN((task_end-task_start+1)*task_progress,0)+task_start-1&gt;=I$5)</formula>
    </cfRule>
    <cfRule type="expression" dxfId="20" priority="46" stopIfTrue="1">
      <formula>AND(task_end&gt;=I$5,task_start&lt;J$5)</formula>
    </cfRule>
  </conditionalFormatting>
  <conditionalFormatting sqref="I37:BL40 I23:CG35">
    <cfRule type="expression" dxfId="19" priority="79">
      <formula>AND(task_start&lt;=I$5,ROUNDDOWN((task_end-task_start+1)*task_progress,0)+task_start-1&gt;=I$5)</formula>
    </cfRule>
    <cfRule type="expression" dxfId="18" priority="80" stopIfTrue="1">
      <formula>AND(task_end&gt;=I$5,task_start&lt;J$5)</formula>
    </cfRule>
  </conditionalFormatting>
  <conditionalFormatting sqref="BM17:BS21">
    <cfRule type="expression" dxfId="17" priority="38">
      <formula>AND(task_start&lt;=BM$5,ROUNDDOWN((task_end-task_start+1)*task_progress,0)+task_start-1&gt;=BM$5)</formula>
    </cfRule>
    <cfRule type="expression" dxfId="16" priority="39" stopIfTrue="1">
      <formula>AND(task_end&gt;=BM$5,task_start&lt;BN$5)</formula>
    </cfRule>
  </conditionalFormatting>
  <conditionalFormatting sqref="BM11:BS15">
    <cfRule type="expression" dxfId="15" priority="36">
      <formula>AND(task_start&lt;=BM$5,ROUNDDOWN((task_end-task_start+1)*task_progress,0)+task_start-1&gt;=BM$5)</formula>
    </cfRule>
    <cfRule type="expression" dxfId="14" priority="37" stopIfTrue="1">
      <formula>AND(task_end&gt;=BM$5,task_start&lt;BN$5)</formula>
    </cfRule>
  </conditionalFormatting>
  <conditionalFormatting sqref="BM37:BS40">
    <cfRule type="expression" dxfId="13" priority="42">
      <formula>AND(task_start&lt;=BM$5,ROUNDDOWN((task_end-task_start+1)*task_progress,0)+task_start-1&gt;=BM$5)</formula>
    </cfRule>
    <cfRule type="expression" dxfId="12" priority="43" stopIfTrue="1">
      <formula>AND(task_end&gt;=BM$5,task_start&lt;BN$5)</formula>
    </cfRule>
  </conditionalFormatting>
  <conditionalFormatting sqref="BT17:BZ21">
    <cfRule type="expression" dxfId="11" priority="29">
      <formula>AND(task_start&lt;=BT$5,ROUNDDOWN((task_end-task_start+1)*task_progress,0)+task_start-1&gt;=BT$5)</formula>
    </cfRule>
    <cfRule type="expression" dxfId="10" priority="30" stopIfTrue="1">
      <formula>AND(task_end&gt;=BT$5,task_start&lt;BU$5)</formula>
    </cfRule>
  </conditionalFormatting>
  <conditionalFormatting sqref="BT11:BZ15">
    <cfRule type="expression" dxfId="9" priority="27">
      <formula>AND(task_start&lt;=BT$5,ROUNDDOWN((task_end-task_start+1)*task_progress,0)+task_start-1&gt;=BT$5)</formula>
    </cfRule>
    <cfRule type="expression" dxfId="8" priority="28" stopIfTrue="1">
      <formula>AND(task_end&gt;=BT$5,task_start&lt;BU$5)</formula>
    </cfRule>
  </conditionalFormatting>
  <conditionalFormatting sqref="BT37:BZ40">
    <cfRule type="expression" dxfId="7" priority="33">
      <formula>AND(task_start&lt;=BT$5,ROUNDDOWN((task_end-task_start+1)*task_progress,0)+task_start-1&gt;=BT$5)</formula>
    </cfRule>
    <cfRule type="expression" dxfId="6" priority="34" stopIfTrue="1">
      <formula>AND(task_end&gt;=BT$5,task_start&lt;BU$5)</formula>
    </cfRule>
  </conditionalFormatting>
  <conditionalFormatting sqref="CA17:CG21">
    <cfRule type="expression" dxfId="5" priority="20">
      <formula>AND(task_start&lt;=CA$5,ROUNDDOWN((task_end-task_start+1)*task_progress,0)+task_start-1&gt;=CA$5)</formula>
    </cfRule>
    <cfRule type="expression" dxfId="4" priority="21" stopIfTrue="1">
      <formula>AND(task_end&gt;=CA$5,task_start&lt;CB$5)</formula>
    </cfRule>
  </conditionalFormatting>
  <conditionalFormatting sqref="CA11:CG15">
    <cfRule type="expression" dxfId="3" priority="18">
      <formula>AND(task_start&lt;=CA$5,ROUNDDOWN((task_end-task_start+1)*task_progress,0)+task_start-1&gt;=CA$5)</formula>
    </cfRule>
    <cfRule type="expression" dxfId="2" priority="19" stopIfTrue="1">
      <formula>AND(task_end&gt;=CA$5,task_start&lt;CB$5)</formula>
    </cfRule>
  </conditionalFormatting>
  <conditionalFormatting sqref="CA37:CG40">
    <cfRule type="expression" dxfId="1" priority="24">
      <formula>AND(task_start&lt;=CA$5,ROUNDDOWN((task_end-task_start+1)*task_progress,0)+task_start-1&gt;=CA$5)</formula>
    </cfRule>
    <cfRule type="expression" dxfId="0" priority="25" stopIfTrue="1">
      <formula>AND(task_end&gt;=CA$5,task_start&lt;CB$5)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25"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26"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27"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6" xr:uid="{4F48FC41-E335-47F1-87AA-3333A52AD81C}"/>
    <dataValidation allowBlank="1" showInputMessage="1" showErrorMessage="1" prompt="Phase 3's sample block starts in cell B20." sqref="A8" xr:uid="{956902D1-D3B5-416D-BB69-9362D193BC0A}"/>
    <dataValidation allowBlank="1" showInputMessage="1" showErrorMessage="1" prompt="Phase 4's sample block starts in cell B26." sqref="A36 A22"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42"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ignoredErrors>
    <ignoredError sqref="F20 F39"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D7:D42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baseColWidth="10" defaultColWidth="9" defaultRowHeight="13" x14ac:dyDescent="0.15"/>
  <cols>
    <col min="1" max="1" width="87" style="7" customWidth="1"/>
    <col min="2" max="16384" width="9" style="1"/>
  </cols>
  <sheetData>
    <row r="1" spans="1:2" ht="46.5" customHeight="1" x14ac:dyDescent="0.15"/>
    <row r="2" spans="1:2" s="9" customFormat="1" ht="16" x14ac:dyDescent="0.15">
      <c r="A2" s="98" t="s">
        <v>8</v>
      </c>
      <c r="B2" s="8"/>
    </row>
    <row r="3" spans="1:2" s="11" customFormat="1" ht="27" customHeight="1" x14ac:dyDescent="0.15">
      <c r="A3" s="99"/>
      <c r="B3" s="12"/>
    </row>
    <row r="4" spans="1:2" s="10" customFormat="1" ht="31" x14ac:dyDescent="0.45">
      <c r="A4" s="100" t="s">
        <v>7</v>
      </c>
    </row>
    <row r="5" spans="1:2" ht="74.25" customHeight="1" x14ac:dyDescent="0.15">
      <c r="A5" s="101" t="s">
        <v>16</v>
      </c>
    </row>
    <row r="6" spans="1:2" ht="26.25" customHeight="1" x14ac:dyDescent="0.15">
      <c r="A6" s="100" t="s">
        <v>19</v>
      </c>
    </row>
    <row r="7" spans="1:2" s="7" customFormat="1" ht="205" customHeight="1" x14ac:dyDescent="0.15">
      <c r="A7" s="102" t="s">
        <v>18</v>
      </c>
    </row>
    <row r="8" spans="1:2" s="10" customFormat="1" ht="31" x14ac:dyDescent="0.45">
      <c r="A8" s="100" t="s">
        <v>9</v>
      </c>
    </row>
    <row r="9" spans="1:2" ht="60" x14ac:dyDescent="0.15">
      <c r="A9" s="101" t="s">
        <v>17</v>
      </c>
    </row>
    <row r="10" spans="1:2" s="7" customFormat="1" ht="28" customHeight="1" x14ac:dyDescent="0.15">
      <c r="A10" s="103" t="s">
        <v>15</v>
      </c>
    </row>
    <row r="11" spans="1:2" s="10" customFormat="1" ht="31" x14ac:dyDescent="0.45">
      <c r="A11" s="100" t="s">
        <v>6</v>
      </c>
    </row>
    <row r="12" spans="1:2" ht="30" x14ac:dyDescent="0.15">
      <c r="A12" s="101" t="s">
        <v>14</v>
      </c>
    </row>
    <row r="13" spans="1:2" s="7" customFormat="1" ht="28" customHeight="1" x14ac:dyDescent="0.15">
      <c r="A13" s="103" t="s">
        <v>2</v>
      </c>
    </row>
    <row r="14" spans="1:2" s="10" customFormat="1" ht="31" x14ac:dyDescent="0.45">
      <c r="A14" s="100" t="s">
        <v>10</v>
      </c>
    </row>
    <row r="15" spans="1:2" ht="75" customHeight="1" x14ac:dyDescent="0.15">
      <c r="A15" s="101" t="s">
        <v>11</v>
      </c>
    </row>
    <row r="16" spans="1:2" ht="75" x14ac:dyDescent="0.15">
      <c r="A16" s="101" t="s">
        <v>12</v>
      </c>
    </row>
    <row r="17" spans="1:1" x14ac:dyDescent="0.15">
      <c r="A17" s="104"/>
    </row>
    <row r="18" spans="1:1" x14ac:dyDescent="0.15">
      <c r="A18" s="104"/>
    </row>
    <row r="19" spans="1:1" x14ac:dyDescent="0.15">
      <c r="A19" s="104"/>
    </row>
    <row r="20" spans="1:1" x14ac:dyDescent="0.15">
      <c r="A20" s="104"/>
    </row>
    <row r="21" spans="1:1" x14ac:dyDescent="0.15">
      <c r="A21" s="104"/>
    </row>
    <row r="22" spans="1:1" x14ac:dyDescent="0.15">
      <c r="A22" s="104"/>
    </row>
    <row r="23" spans="1:1" x14ac:dyDescent="0.15">
      <c r="A23" s="104"/>
    </row>
    <row r="24" spans="1:1" x14ac:dyDescent="0.15">
      <c r="A24" s="104"/>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C2348D59-3426-404A-A0C5-6456F6613E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Macintosh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description/>
  <cp:lastModifiedBy>Aiden Byrne</cp:lastModifiedBy>
  <dcterms:created xsi:type="dcterms:W3CDTF">2022-03-11T22:41:12Z</dcterms:created>
  <dcterms:modified xsi:type="dcterms:W3CDTF">2025-08-15T13:02:28Z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